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c400a6d2268350/Penn/GitHub/PARSE/tests/xyz/Example_2D_Channel/Example_Output_Files/"/>
    </mc:Choice>
  </mc:AlternateContent>
  <xr:revisionPtr revIDLastSave="144" documentId="8_{7149973D-7FBA-47E4-9186-8284705DD2B8}" xr6:coauthVersionLast="47" xr6:coauthVersionMax="47" xr10:uidLastSave="{884C0812-5372-477C-8F28-667A94328D95}"/>
  <bookViews>
    <workbookView xWindow="28680" yWindow="-120" windowWidth="29040" windowHeight="15720" xr2:uid="{D12CB501-9D5F-4141-A117-3B2D7216AD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B3" i="1"/>
  <c r="B4" i="1"/>
  <c r="F4" i="1" s="1"/>
  <c r="B5" i="1"/>
  <c r="B6" i="1"/>
  <c r="B7" i="1"/>
  <c r="B8" i="1"/>
  <c r="B9" i="1"/>
  <c r="F9" i="1" s="1"/>
  <c r="B10" i="1"/>
  <c r="B11" i="1"/>
  <c r="B12" i="1"/>
  <c r="B13" i="1"/>
  <c r="B14" i="1"/>
  <c r="B15" i="1"/>
  <c r="F15" i="1" s="1"/>
  <c r="B16" i="1"/>
  <c r="B17" i="1"/>
  <c r="F17" i="1" s="1"/>
  <c r="B18" i="1"/>
  <c r="B19" i="1"/>
  <c r="B20" i="1"/>
  <c r="F20" i="1" s="1"/>
  <c r="B21" i="1"/>
  <c r="F21" i="1" s="1"/>
  <c r="B22" i="1"/>
  <c r="F22" i="1" s="1"/>
  <c r="B23" i="1"/>
  <c r="B24" i="1"/>
  <c r="B25" i="1"/>
  <c r="F25" i="1" s="1"/>
  <c r="B26" i="1"/>
  <c r="B27" i="1"/>
  <c r="B2" i="1"/>
  <c r="F12" i="1"/>
  <c r="F13" i="1"/>
  <c r="F14" i="1"/>
  <c r="F24" i="1" l="1"/>
  <c r="F23" i="1"/>
  <c r="F5" i="1"/>
  <c r="F16" i="1"/>
  <c r="F8" i="1"/>
  <c r="F7" i="1"/>
  <c r="F6" i="1"/>
  <c r="F11" i="1"/>
  <c r="F27" i="1"/>
  <c r="F18" i="1"/>
  <c r="F19" i="1"/>
  <c r="F26" i="1"/>
  <c r="F10" i="1"/>
  <c r="F3" i="1"/>
</calcChain>
</file>

<file path=xl/sharedStrings.xml><?xml version="1.0" encoding="utf-8"?>
<sst xmlns="http://schemas.openxmlformats.org/spreadsheetml/2006/main" count="6" uniqueCount="6">
  <si>
    <t>Cumulaitve PSD</t>
  </si>
  <si>
    <t>PSD</t>
  </si>
  <si>
    <t>d (A)</t>
  </si>
  <si>
    <t>PoreBlazer Cumulative PSD</t>
  </si>
  <si>
    <t>PoreBlazer PSD</t>
  </si>
  <si>
    <t>d 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</si>
</sst>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Cumulaitve PSD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Sheet1!$B$2:$B$31</c:f>
              <c:numCache>
                <c:formatCode>General</c:formatCode>
                <c:ptCount val="3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0.13999999999999999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0.22000000000000003</c:v>
                </c:pt>
                <c:pt idx="12">
                  <c:v>0.24</c:v>
                </c:pt>
                <c:pt idx="13">
                  <c:v>0.26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0.33999999999999997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0.42000000000000004</c:v>
                </c:pt>
                <c:pt idx="22">
                  <c:v>0.44000000000000006</c:v>
                </c:pt>
                <c:pt idx="23">
                  <c:v>0.45999999999999996</c:v>
                </c:pt>
                <c:pt idx="24">
                  <c:v>0.48</c:v>
                </c:pt>
                <c:pt idx="25">
                  <c:v>0.5</c:v>
                </c:pt>
              </c:numCache>
            </c:numRef>
          </c:xVal>
          <c:yVal>
            <c:numRef>
              <c:f>Sheet1!$C$2:$C$31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17-4C7F-9171-0711C00CF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607647"/>
        <c:axId val="636349327"/>
      </c:scatterChart>
      <c:scatterChart>
        <c:scatterStyle val="lineMarker"/>
        <c:varyColors val="0"/>
        <c:ser>
          <c:idx val="1"/>
          <c:order val="1"/>
          <c:tx>
            <c:strRef>
              <c:f>Sheet1!$D$1</c:f>
              <c:strCache>
                <c:ptCount val="1"/>
                <c:pt idx="0">
                  <c:v>PSD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Sheet1!$B$2:$B$31</c:f>
              <c:numCache>
                <c:formatCode>General</c:formatCode>
                <c:ptCount val="3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0.13999999999999999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0.22000000000000003</c:v>
                </c:pt>
                <c:pt idx="12">
                  <c:v>0.24</c:v>
                </c:pt>
                <c:pt idx="13">
                  <c:v>0.26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0.33999999999999997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0.42000000000000004</c:v>
                </c:pt>
                <c:pt idx="22">
                  <c:v>0.44000000000000006</c:v>
                </c:pt>
                <c:pt idx="23">
                  <c:v>0.45999999999999996</c:v>
                </c:pt>
                <c:pt idx="24">
                  <c:v>0.48</c:v>
                </c:pt>
                <c:pt idx="25">
                  <c:v>0.5</c:v>
                </c:pt>
              </c:numCache>
            </c:numRef>
          </c:xVal>
          <c:yVal>
            <c:numRef>
              <c:f>Sheet1!$D$2:$D$31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49.999999999999957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17-4C7F-9171-0711C00CF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863775"/>
        <c:axId val="642880847"/>
      </c:scatterChart>
      <c:valAx>
        <c:axId val="638607647"/>
        <c:scaling>
          <c:orientation val="minMax"/>
          <c:max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49327"/>
        <c:crosses val="autoZero"/>
        <c:crossBetween val="midCat"/>
      </c:valAx>
      <c:valAx>
        <c:axId val="63634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Pore Size Distribution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07647"/>
        <c:crosses val="autoZero"/>
        <c:crossBetween val="midCat"/>
      </c:valAx>
      <c:valAx>
        <c:axId val="64288084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Pore Size Distribution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63775"/>
        <c:crosses val="max"/>
        <c:crossBetween val="midCat"/>
      </c:valAx>
      <c:valAx>
        <c:axId val="6428637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2880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PSD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Sheet1!$B$2:$B$31</c:f>
              <c:numCache>
                <c:formatCode>General</c:formatCode>
                <c:ptCount val="3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0.13999999999999999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0.22000000000000003</c:v>
                </c:pt>
                <c:pt idx="12">
                  <c:v>0.24</c:v>
                </c:pt>
                <c:pt idx="13">
                  <c:v>0.26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0.33999999999999997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0.42000000000000004</c:v>
                </c:pt>
                <c:pt idx="22">
                  <c:v>0.44000000000000006</c:v>
                </c:pt>
                <c:pt idx="23">
                  <c:v>0.45999999999999996</c:v>
                </c:pt>
                <c:pt idx="24">
                  <c:v>0.48</c:v>
                </c:pt>
                <c:pt idx="25">
                  <c:v>0.5</c:v>
                </c:pt>
              </c:numCache>
            </c:numRef>
          </c:xVal>
          <c:yVal>
            <c:numRef>
              <c:f>Sheet1!$D$2:$D$31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49.999999999999957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28-4F6D-A21C-001F81D23A21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PoreBlazer PSD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Sheet1!$B$2:$B$31</c:f>
              <c:numCache>
                <c:formatCode>General</c:formatCode>
                <c:ptCount val="3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0.13999999999999999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0.22000000000000003</c:v>
                </c:pt>
                <c:pt idx="12">
                  <c:v>0.24</c:v>
                </c:pt>
                <c:pt idx="13">
                  <c:v>0.26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0.33999999999999997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0.42000000000000004</c:v>
                </c:pt>
                <c:pt idx="22">
                  <c:v>0.44000000000000006</c:v>
                </c:pt>
                <c:pt idx="23">
                  <c:v>0.45999999999999996</c:v>
                </c:pt>
                <c:pt idx="24">
                  <c:v>0.48</c:v>
                </c:pt>
                <c:pt idx="25">
                  <c:v>0.5</c:v>
                </c:pt>
              </c:numCache>
            </c:numRef>
          </c:xVal>
          <c:yVal>
            <c:numRef>
              <c:f>Sheet1!$F$2:$F$31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49.999999999999957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28-4F6D-A21C-001F81D23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607647"/>
        <c:axId val="636349327"/>
      </c:scatterChart>
      <c:valAx>
        <c:axId val="638607647"/>
        <c:scaling>
          <c:orientation val="minMax"/>
          <c:max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49327"/>
        <c:crosses val="autoZero"/>
        <c:crossBetween val="midCat"/>
      </c:valAx>
      <c:valAx>
        <c:axId val="63634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Pore Size Distribution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07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266699</xdr:colOff>
      <xdr:row>1</xdr:row>
      <xdr:rowOff>33336</xdr:rowOff>
    </xdr:from>
    <xdr:to>
      <xdr:col>21</xdr:col>
      <xdr:colOff>581024</xdr:colOff>
      <xdr:row>30</xdr:row>
      <xdr:rowOff>183831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51E159-7456-2D9F-F0FD-6554D47669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114300</xdr:colOff>
      <xdr:row>1</xdr:row>
      <xdr:rowOff>47625</xdr:rowOff>
    </xdr:from>
    <xdr:to>
      <xdr:col>37</xdr:col>
      <xdr:colOff>428625</xdr:colOff>
      <xdr:row>31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B6D908-BBB7-43F9-80A7-FDD76E8FD4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594D7-D524-4C7B-B376-D68CC69111AD}">
  <dimension ref="A1:F27"/>
  <sheetViews>
    <sheetView tabSelected="1" workbookViewId="0">
      <selection activeCell="D5" sqref="D5"/>
    </sheetView>
  </sheetViews>
  <sheetFormatPr defaultRowHeight="15" x14ac:dyDescent="0.25"/>
  <cols>
    <col min="3" max="3" width="14.85546875" bestFit="1" customWidth="1"/>
  </cols>
  <sheetData>
    <row r="1" spans="1:6" x14ac:dyDescent="0.25">
      <c r="A1" t="s">
        <v>2</v>
      </c>
      <c r="B1" t="s">
        <v>5</v>
      </c>
      <c r="C1" t="s">
        <v>0</v>
      </c>
      <c r="D1" t="s">
        <v>1</v>
      </c>
      <c r="E1" t="s">
        <v>3</v>
      </c>
      <c r="F1" t="s">
        <v>4</v>
      </c>
    </row>
    <row r="2" spans="1:6" x14ac:dyDescent="0.25">
      <c r="A2">
        <v>0</v>
      </c>
      <c r="B2">
        <f>A2/10</f>
        <v>0</v>
      </c>
      <c r="C2">
        <v>1</v>
      </c>
      <c r="D2">
        <v>0</v>
      </c>
      <c r="E2">
        <v>1</v>
      </c>
      <c r="F2">
        <v>0</v>
      </c>
    </row>
    <row r="3" spans="1:6" x14ac:dyDescent="0.25">
      <c r="A3">
        <v>0.2</v>
      </c>
      <c r="B3">
        <f t="shared" ref="B3:B27" si="0">A3/10</f>
        <v>0.02</v>
      </c>
      <c r="C3">
        <v>1</v>
      </c>
      <c r="D3">
        <f>(C2-C3)/(B3-B2)</f>
        <v>0</v>
      </c>
      <c r="E3">
        <v>1</v>
      </c>
      <c r="F3">
        <f>(E2-E3)/(B3-B2)</f>
        <v>0</v>
      </c>
    </row>
    <row r="4" spans="1:6" x14ac:dyDescent="0.25">
      <c r="A4">
        <v>0.4</v>
      </c>
      <c r="B4">
        <f t="shared" si="0"/>
        <v>0.04</v>
      </c>
      <c r="C4">
        <v>1</v>
      </c>
      <c r="D4">
        <f t="shared" ref="D4:D27" si="1">(C3-C4)/(B4-B3)</f>
        <v>0</v>
      </c>
      <c r="E4">
        <v>1</v>
      </c>
      <c r="F4">
        <f t="shared" ref="F4:F27" si="2">(E3-E4)/(B4-B3)</f>
        <v>0</v>
      </c>
    </row>
    <row r="5" spans="1:6" x14ac:dyDescent="0.25">
      <c r="A5">
        <v>0.6</v>
      </c>
      <c r="B5">
        <f t="shared" si="0"/>
        <v>0.06</v>
      </c>
      <c r="C5">
        <v>1</v>
      </c>
      <c r="D5">
        <f t="shared" si="1"/>
        <v>0</v>
      </c>
      <c r="E5">
        <v>1</v>
      </c>
      <c r="F5">
        <f t="shared" si="2"/>
        <v>0</v>
      </c>
    </row>
    <row r="6" spans="1:6" x14ac:dyDescent="0.25">
      <c r="A6">
        <v>0.8</v>
      </c>
      <c r="B6">
        <f t="shared" si="0"/>
        <v>0.08</v>
      </c>
      <c r="C6">
        <v>1</v>
      </c>
      <c r="D6">
        <f t="shared" si="1"/>
        <v>0</v>
      </c>
      <c r="E6">
        <v>1</v>
      </c>
      <c r="F6">
        <f t="shared" si="2"/>
        <v>0</v>
      </c>
    </row>
    <row r="7" spans="1:6" x14ac:dyDescent="0.25">
      <c r="A7">
        <v>1</v>
      </c>
      <c r="B7">
        <f t="shared" si="0"/>
        <v>0.1</v>
      </c>
      <c r="C7">
        <v>1</v>
      </c>
      <c r="D7">
        <f t="shared" si="1"/>
        <v>0</v>
      </c>
      <c r="E7">
        <v>1</v>
      </c>
      <c r="F7">
        <f t="shared" si="2"/>
        <v>0</v>
      </c>
    </row>
    <row r="8" spans="1:6" x14ac:dyDescent="0.25">
      <c r="A8">
        <v>1.2</v>
      </c>
      <c r="B8">
        <f t="shared" si="0"/>
        <v>0.12</v>
      </c>
      <c r="C8">
        <v>1</v>
      </c>
      <c r="D8">
        <f t="shared" si="1"/>
        <v>0</v>
      </c>
      <c r="E8">
        <v>1</v>
      </c>
      <c r="F8">
        <f t="shared" si="2"/>
        <v>0</v>
      </c>
    </row>
    <row r="9" spans="1:6" x14ac:dyDescent="0.25">
      <c r="A9">
        <v>1.4</v>
      </c>
      <c r="B9">
        <f t="shared" si="0"/>
        <v>0.13999999999999999</v>
      </c>
      <c r="C9">
        <v>1</v>
      </c>
      <c r="D9">
        <f t="shared" si="1"/>
        <v>0</v>
      </c>
      <c r="E9">
        <v>1</v>
      </c>
      <c r="F9">
        <f t="shared" si="2"/>
        <v>0</v>
      </c>
    </row>
    <row r="10" spans="1:6" x14ac:dyDescent="0.25">
      <c r="A10">
        <v>1.6</v>
      </c>
      <c r="B10">
        <f t="shared" si="0"/>
        <v>0.16</v>
      </c>
      <c r="C10">
        <v>1</v>
      </c>
      <c r="D10">
        <f t="shared" si="1"/>
        <v>0</v>
      </c>
      <c r="E10">
        <v>1</v>
      </c>
      <c r="F10">
        <f t="shared" si="2"/>
        <v>0</v>
      </c>
    </row>
    <row r="11" spans="1:6" x14ac:dyDescent="0.25">
      <c r="A11">
        <v>1.8</v>
      </c>
      <c r="B11">
        <f t="shared" si="0"/>
        <v>0.18</v>
      </c>
      <c r="C11">
        <v>1</v>
      </c>
      <c r="D11">
        <f t="shared" si="1"/>
        <v>0</v>
      </c>
      <c r="E11">
        <v>1</v>
      </c>
      <c r="F11">
        <f t="shared" si="2"/>
        <v>0</v>
      </c>
    </row>
    <row r="12" spans="1:6" x14ac:dyDescent="0.25">
      <c r="A12">
        <v>2</v>
      </c>
      <c r="B12">
        <f t="shared" si="0"/>
        <v>0.2</v>
      </c>
      <c r="C12">
        <v>1</v>
      </c>
      <c r="D12">
        <f t="shared" si="1"/>
        <v>0</v>
      </c>
      <c r="E12">
        <v>1</v>
      </c>
      <c r="F12">
        <f t="shared" si="2"/>
        <v>0</v>
      </c>
    </row>
    <row r="13" spans="1:6" x14ac:dyDescent="0.25">
      <c r="A13">
        <v>2.2000000000000002</v>
      </c>
      <c r="B13">
        <f t="shared" si="0"/>
        <v>0.22000000000000003</v>
      </c>
      <c r="C13">
        <v>1</v>
      </c>
      <c r="D13">
        <f t="shared" si="1"/>
        <v>0</v>
      </c>
      <c r="E13">
        <v>1</v>
      </c>
      <c r="F13">
        <f t="shared" si="2"/>
        <v>0</v>
      </c>
    </row>
    <row r="14" spans="1:6" x14ac:dyDescent="0.25">
      <c r="A14">
        <v>2.4</v>
      </c>
      <c r="B14">
        <f t="shared" si="0"/>
        <v>0.24</v>
      </c>
      <c r="C14">
        <v>1</v>
      </c>
      <c r="D14">
        <f t="shared" si="1"/>
        <v>0</v>
      </c>
      <c r="E14">
        <v>1</v>
      </c>
      <c r="F14">
        <f t="shared" si="2"/>
        <v>0</v>
      </c>
    </row>
    <row r="15" spans="1:6" x14ac:dyDescent="0.25">
      <c r="A15">
        <v>2.6</v>
      </c>
      <c r="B15">
        <f t="shared" si="0"/>
        <v>0.26</v>
      </c>
      <c r="C15">
        <v>1</v>
      </c>
      <c r="D15">
        <f t="shared" si="1"/>
        <v>0</v>
      </c>
      <c r="E15">
        <v>1</v>
      </c>
      <c r="F15">
        <f t="shared" si="2"/>
        <v>0</v>
      </c>
    </row>
    <row r="16" spans="1:6" x14ac:dyDescent="0.25">
      <c r="A16">
        <v>2.8</v>
      </c>
      <c r="B16">
        <f t="shared" si="0"/>
        <v>0.27999999999999997</v>
      </c>
      <c r="C16">
        <v>1</v>
      </c>
      <c r="D16">
        <f t="shared" si="1"/>
        <v>0</v>
      </c>
      <c r="E16">
        <v>1</v>
      </c>
      <c r="F16">
        <f t="shared" si="2"/>
        <v>0</v>
      </c>
    </row>
    <row r="17" spans="1:6" x14ac:dyDescent="0.25">
      <c r="A17">
        <v>3</v>
      </c>
      <c r="B17">
        <f t="shared" si="0"/>
        <v>0.3</v>
      </c>
      <c r="C17">
        <v>0</v>
      </c>
      <c r="D17">
        <f t="shared" si="1"/>
        <v>49.999999999999957</v>
      </c>
      <c r="E17">
        <v>0</v>
      </c>
      <c r="F17">
        <f t="shared" si="2"/>
        <v>49.999999999999957</v>
      </c>
    </row>
    <row r="18" spans="1:6" x14ac:dyDescent="0.25">
      <c r="A18">
        <v>3.2</v>
      </c>
      <c r="B18">
        <f t="shared" si="0"/>
        <v>0.32</v>
      </c>
      <c r="C18">
        <v>0</v>
      </c>
      <c r="D18">
        <f t="shared" si="1"/>
        <v>0</v>
      </c>
      <c r="E18">
        <v>0</v>
      </c>
      <c r="F18">
        <f t="shared" si="2"/>
        <v>0</v>
      </c>
    </row>
    <row r="19" spans="1:6" x14ac:dyDescent="0.25">
      <c r="A19">
        <v>3.4</v>
      </c>
      <c r="B19">
        <f t="shared" si="0"/>
        <v>0.33999999999999997</v>
      </c>
      <c r="C19">
        <v>0</v>
      </c>
      <c r="D19">
        <f t="shared" si="1"/>
        <v>0</v>
      </c>
      <c r="E19">
        <v>0</v>
      </c>
      <c r="F19">
        <f t="shared" si="2"/>
        <v>0</v>
      </c>
    </row>
    <row r="20" spans="1:6" x14ac:dyDescent="0.25">
      <c r="A20">
        <v>3.6</v>
      </c>
      <c r="B20">
        <f t="shared" si="0"/>
        <v>0.36</v>
      </c>
      <c r="C20">
        <v>0</v>
      </c>
      <c r="D20">
        <f t="shared" si="1"/>
        <v>0</v>
      </c>
      <c r="E20">
        <v>0</v>
      </c>
      <c r="F20">
        <f t="shared" si="2"/>
        <v>0</v>
      </c>
    </row>
    <row r="21" spans="1:6" x14ac:dyDescent="0.25">
      <c r="A21">
        <v>3.8</v>
      </c>
      <c r="B21">
        <f t="shared" si="0"/>
        <v>0.38</v>
      </c>
      <c r="C21">
        <v>0</v>
      </c>
      <c r="D21">
        <f t="shared" si="1"/>
        <v>0</v>
      </c>
      <c r="E21">
        <v>0</v>
      </c>
      <c r="F21">
        <f t="shared" si="2"/>
        <v>0</v>
      </c>
    </row>
    <row r="22" spans="1:6" x14ac:dyDescent="0.25">
      <c r="A22">
        <v>4</v>
      </c>
      <c r="B22">
        <f t="shared" si="0"/>
        <v>0.4</v>
      </c>
      <c r="C22">
        <v>0</v>
      </c>
      <c r="D22">
        <f t="shared" si="1"/>
        <v>0</v>
      </c>
      <c r="E22">
        <v>0</v>
      </c>
      <c r="F22">
        <f t="shared" si="2"/>
        <v>0</v>
      </c>
    </row>
    <row r="23" spans="1:6" x14ac:dyDescent="0.25">
      <c r="A23">
        <v>4.2</v>
      </c>
      <c r="B23">
        <f t="shared" si="0"/>
        <v>0.42000000000000004</v>
      </c>
      <c r="C23">
        <v>0</v>
      </c>
      <c r="D23">
        <f t="shared" si="1"/>
        <v>0</v>
      </c>
      <c r="E23">
        <v>0</v>
      </c>
      <c r="F23">
        <f t="shared" si="2"/>
        <v>0</v>
      </c>
    </row>
    <row r="24" spans="1:6" x14ac:dyDescent="0.25">
      <c r="A24">
        <v>4.4000000000000004</v>
      </c>
      <c r="B24">
        <f t="shared" si="0"/>
        <v>0.44000000000000006</v>
      </c>
      <c r="C24">
        <v>0</v>
      </c>
      <c r="D24">
        <f t="shared" si="1"/>
        <v>0</v>
      </c>
      <c r="E24">
        <v>0</v>
      </c>
      <c r="F24">
        <f t="shared" si="2"/>
        <v>0</v>
      </c>
    </row>
    <row r="25" spans="1:6" x14ac:dyDescent="0.25">
      <c r="A25">
        <v>4.5999999999999996</v>
      </c>
      <c r="B25">
        <f t="shared" si="0"/>
        <v>0.45999999999999996</v>
      </c>
      <c r="C25">
        <v>0</v>
      </c>
      <c r="D25">
        <f t="shared" si="1"/>
        <v>0</v>
      </c>
      <c r="E25">
        <v>0</v>
      </c>
      <c r="F25">
        <f t="shared" si="2"/>
        <v>0</v>
      </c>
    </row>
    <row r="26" spans="1:6" x14ac:dyDescent="0.25">
      <c r="A26">
        <v>4.8</v>
      </c>
      <c r="B26">
        <f t="shared" si="0"/>
        <v>0.48</v>
      </c>
      <c r="C26">
        <v>0</v>
      </c>
      <c r="D26">
        <f t="shared" si="1"/>
        <v>0</v>
      </c>
      <c r="E26">
        <v>0</v>
      </c>
      <c r="F26">
        <f t="shared" si="2"/>
        <v>0</v>
      </c>
    </row>
    <row r="27" spans="1:6" x14ac:dyDescent="0.25">
      <c r="A27">
        <v>5</v>
      </c>
      <c r="B27">
        <f t="shared" si="0"/>
        <v>0.5</v>
      </c>
      <c r="C27">
        <v>0</v>
      </c>
      <c r="D27">
        <f t="shared" si="1"/>
        <v>0</v>
      </c>
      <c r="E27">
        <v>0</v>
      </c>
      <c r="F27">
        <f t="shared" si="2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Marioni</dc:creator>
  <cp:lastModifiedBy>Nico Marioni</cp:lastModifiedBy>
  <dcterms:created xsi:type="dcterms:W3CDTF">2026-04-09T14:25:09Z</dcterms:created>
  <dcterms:modified xsi:type="dcterms:W3CDTF">2026-07-17T19:54:21Z</dcterms:modified>
</cp:coreProperties>
</file>