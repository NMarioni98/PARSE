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2c400a6d2268350/Penn/GitHub/PARSE/tests/trj/Example_AEM/Example_output_files/"/>
    </mc:Choice>
  </mc:AlternateContent>
  <xr:revisionPtr revIDLastSave="115" documentId="8_{7149973D-7FBA-47E4-9186-8284705DD2B8}" xr6:coauthVersionLast="47" xr6:coauthVersionMax="47" xr10:uidLastSave="{3DF6B3EE-1FF8-4BE2-B210-3DDBF00B512B}"/>
  <bookViews>
    <workbookView xWindow="-120" yWindow="-120" windowWidth="29040" windowHeight="15720" xr2:uid="{D12CB501-9D5F-4141-A117-3B2D7216AD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1" l="1"/>
  <c r="D24" i="1"/>
  <c r="D25" i="1"/>
  <c r="D26" i="1"/>
  <c r="B18" i="1"/>
  <c r="D18" i="1" s="1"/>
  <c r="B19" i="1"/>
  <c r="D19" i="1" s="1"/>
  <c r="B20" i="1"/>
  <c r="D20" i="1" s="1"/>
  <c r="B21" i="1"/>
  <c r="D21" i="1" s="1"/>
  <c r="B22" i="1"/>
  <c r="D22" i="1" s="1"/>
  <c r="B23" i="1"/>
  <c r="B24" i="1"/>
  <c r="B25" i="1"/>
  <c r="B26" i="1"/>
  <c r="B27" i="1"/>
  <c r="D27" i="1" s="1"/>
  <c r="B28" i="1"/>
  <c r="B29" i="1"/>
  <c r="D29" i="1" s="1"/>
  <c r="B30" i="1"/>
  <c r="D30" i="1" s="1"/>
  <c r="B31" i="1"/>
  <c r="D31" i="1" s="1"/>
  <c r="B2" i="1"/>
  <c r="B3" i="1"/>
  <c r="D3" i="1" s="1"/>
  <c r="B4" i="1"/>
  <c r="B5" i="1"/>
  <c r="B6" i="1"/>
  <c r="D6" i="1" s="1"/>
  <c r="B7" i="1"/>
  <c r="D7" i="1" s="1"/>
  <c r="B8" i="1"/>
  <c r="D8" i="1" s="1"/>
  <c r="B9" i="1"/>
  <c r="D9" i="1" s="1"/>
  <c r="B10" i="1"/>
  <c r="B11" i="1"/>
  <c r="D11" i="1" s="1"/>
  <c r="B12" i="1"/>
  <c r="D12" i="1" s="1"/>
  <c r="B13" i="1"/>
  <c r="D13" i="1" s="1"/>
  <c r="B14" i="1"/>
  <c r="D14" i="1" s="1"/>
  <c r="B15" i="1"/>
  <c r="D15" i="1" s="1"/>
  <c r="B16" i="1"/>
  <c r="D16" i="1" s="1"/>
  <c r="B17" i="1"/>
  <c r="D28" i="1" l="1"/>
  <c r="D23" i="1"/>
  <c r="D17" i="1"/>
  <c r="D10" i="1"/>
  <c r="D5" i="1"/>
  <c r="D4" i="1"/>
</calcChain>
</file>

<file path=xl/sharedStrings.xml><?xml version="1.0" encoding="utf-8"?>
<sst xmlns="http://schemas.openxmlformats.org/spreadsheetml/2006/main" count="4" uniqueCount="4">
  <si>
    <t>Cumulaitve PSD</t>
  </si>
  <si>
    <t>PSD</t>
  </si>
  <si>
    <t>d (nm)</t>
  </si>
  <si>
    <t>d 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</si>
</sst>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Cumulaitve PSD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Sheet1!$B$2:$B$31</c:f>
              <c:numCache>
                <c:formatCode>General</c:formatCode>
                <c:ptCount val="30"/>
                <c:pt idx="0">
                  <c:v>0</c:v>
                </c:pt>
                <c:pt idx="1">
                  <c:v>0.315</c:v>
                </c:pt>
                <c:pt idx="2">
                  <c:v>0.33999999999999997</c:v>
                </c:pt>
                <c:pt idx="3">
                  <c:v>0.36499999999999999</c:v>
                </c:pt>
                <c:pt idx="4">
                  <c:v>0.39</c:v>
                </c:pt>
                <c:pt idx="5">
                  <c:v>0.41500000000000004</c:v>
                </c:pt>
                <c:pt idx="6">
                  <c:v>0.44000000000000006</c:v>
                </c:pt>
                <c:pt idx="7">
                  <c:v>0.46500000000000002</c:v>
                </c:pt>
                <c:pt idx="8">
                  <c:v>0.49000000000000005</c:v>
                </c:pt>
                <c:pt idx="9">
                  <c:v>0.51500000000000001</c:v>
                </c:pt>
                <c:pt idx="10">
                  <c:v>0.54</c:v>
                </c:pt>
                <c:pt idx="11">
                  <c:v>0.56500000000000006</c:v>
                </c:pt>
                <c:pt idx="12">
                  <c:v>0.59000000000000008</c:v>
                </c:pt>
                <c:pt idx="13">
                  <c:v>0.61499999999999999</c:v>
                </c:pt>
                <c:pt idx="14">
                  <c:v>0.64</c:v>
                </c:pt>
                <c:pt idx="15">
                  <c:v>0.66500000000000004</c:v>
                </c:pt>
                <c:pt idx="16">
                  <c:v>0.69000000000000006</c:v>
                </c:pt>
                <c:pt idx="17">
                  <c:v>0.71500000000000008</c:v>
                </c:pt>
                <c:pt idx="18">
                  <c:v>0.74</c:v>
                </c:pt>
                <c:pt idx="19">
                  <c:v>0.76500000000000001</c:v>
                </c:pt>
                <c:pt idx="20">
                  <c:v>0.79</c:v>
                </c:pt>
                <c:pt idx="21">
                  <c:v>0.81500000000000006</c:v>
                </c:pt>
                <c:pt idx="22">
                  <c:v>0.84000000000000008</c:v>
                </c:pt>
                <c:pt idx="23">
                  <c:v>0.86499999999999999</c:v>
                </c:pt>
                <c:pt idx="24">
                  <c:v>0.89</c:v>
                </c:pt>
                <c:pt idx="25">
                  <c:v>0.91500000000000004</c:v>
                </c:pt>
                <c:pt idx="26">
                  <c:v>0.94000000000000006</c:v>
                </c:pt>
                <c:pt idx="27">
                  <c:v>0.96500000000000008</c:v>
                </c:pt>
                <c:pt idx="28">
                  <c:v>0.99</c:v>
                </c:pt>
                <c:pt idx="29">
                  <c:v>1.0150000000000001</c:v>
                </c:pt>
              </c:numCache>
            </c:numRef>
          </c:xVal>
          <c:yVal>
            <c:numRef>
              <c:f>Sheet1!$C$2:$C$31</c:f>
              <c:numCache>
                <c:formatCode>General</c:formatCode>
                <c:ptCount val="30"/>
                <c:pt idx="0">
                  <c:v>1</c:v>
                </c:pt>
                <c:pt idx="1">
                  <c:v>1</c:v>
                </c:pt>
                <c:pt idx="2">
                  <c:v>0.79901999999999995</c:v>
                </c:pt>
                <c:pt idx="3">
                  <c:v>0.60267000000000004</c:v>
                </c:pt>
                <c:pt idx="4">
                  <c:v>0.43933</c:v>
                </c:pt>
                <c:pt idx="5">
                  <c:v>0.31790000000000002</c:v>
                </c:pt>
                <c:pt idx="6">
                  <c:v>0.23128000000000001</c:v>
                </c:pt>
                <c:pt idx="7">
                  <c:v>0.1484</c:v>
                </c:pt>
                <c:pt idx="8">
                  <c:v>9.042E-2</c:v>
                </c:pt>
                <c:pt idx="9">
                  <c:v>4.9979999999999997E-2</c:v>
                </c:pt>
                <c:pt idx="10">
                  <c:v>1.873E-2</c:v>
                </c:pt>
                <c:pt idx="11">
                  <c:v>8.9300000000000004E-3</c:v>
                </c:pt>
                <c:pt idx="12">
                  <c:v>6.6699999999999997E-3</c:v>
                </c:pt>
                <c:pt idx="13">
                  <c:v>3.2699999999999999E-3</c:v>
                </c:pt>
                <c:pt idx="14">
                  <c:v>1.5499999999999999E-3</c:v>
                </c:pt>
                <c:pt idx="15">
                  <c:v>1.1999999999999999E-3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17-4C7F-9171-0711C00CF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8607647"/>
        <c:axId val="636349327"/>
      </c:scatterChart>
      <c:scatterChart>
        <c:scatterStyle val="lineMarker"/>
        <c:varyColors val="0"/>
        <c:ser>
          <c:idx val="1"/>
          <c:order val="1"/>
          <c:tx>
            <c:strRef>
              <c:f>Sheet1!$D$1</c:f>
              <c:strCache>
                <c:ptCount val="1"/>
                <c:pt idx="0">
                  <c:v>PSD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Sheet1!$B$2:$B$31</c:f>
              <c:numCache>
                <c:formatCode>General</c:formatCode>
                <c:ptCount val="30"/>
                <c:pt idx="0">
                  <c:v>0</c:v>
                </c:pt>
                <c:pt idx="1">
                  <c:v>0.315</c:v>
                </c:pt>
                <c:pt idx="2">
                  <c:v>0.33999999999999997</c:v>
                </c:pt>
                <c:pt idx="3">
                  <c:v>0.36499999999999999</c:v>
                </c:pt>
                <c:pt idx="4">
                  <c:v>0.39</c:v>
                </c:pt>
                <c:pt idx="5">
                  <c:v>0.41500000000000004</c:v>
                </c:pt>
                <c:pt idx="6">
                  <c:v>0.44000000000000006</c:v>
                </c:pt>
                <c:pt idx="7">
                  <c:v>0.46500000000000002</c:v>
                </c:pt>
                <c:pt idx="8">
                  <c:v>0.49000000000000005</c:v>
                </c:pt>
                <c:pt idx="9">
                  <c:v>0.51500000000000001</c:v>
                </c:pt>
                <c:pt idx="10">
                  <c:v>0.54</c:v>
                </c:pt>
                <c:pt idx="11">
                  <c:v>0.56500000000000006</c:v>
                </c:pt>
                <c:pt idx="12">
                  <c:v>0.59000000000000008</c:v>
                </c:pt>
                <c:pt idx="13">
                  <c:v>0.61499999999999999</c:v>
                </c:pt>
                <c:pt idx="14">
                  <c:v>0.64</c:v>
                </c:pt>
                <c:pt idx="15">
                  <c:v>0.66500000000000004</c:v>
                </c:pt>
                <c:pt idx="16">
                  <c:v>0.69000000000000006</c:v>
                </c:pt>
                <c:pt idx="17">
                  <c:v>0.71500000000000008</c:v>
                </c:pt>
                <c:pt idx="18">
                  <c:v>0.74</c:v>
                </c:pt>
                <c:pt idx="19">
                  <c:v>0.76500000000000001</c:v>
                </c:pt>
                <c:pt idx="20">
                  <c:v>0.79</c:v>
                </c:pt>
                <c:pt idx="21">
                  <c:v>0.81500000000000006</c:v>
                </c:pt>
                <c:pt idx="22">
                  <c:v>0.84000000000000008</c:v>
                </c:pt>
                <c:pt idx="23">
                  <c:v>0.86499999999999999</c:v>
                </c:pt>
                <c:pt idx="24">
                  <c:v>0.89</c:v>
                </c:pt>
                <c:pt idx="25">
                  <c:v>0.91500000000000004</c:v>
                </c:pt>
                <c:pt idx="26">
                  <c:v>0.94000000000000006</c:v>
                </c:pt>
                <c:pt idx="27">
                  <c:v>0.96500000000000008</c:v>
                </c:pt>
                <c:pt idx="28">
                  <c:v>0.99</c:v>
                </c:pt>
                <c:pt idx="29">
                  <c:v>1.0150000000000001</c:v>
                </c:pt>
              </c:numCache>
            </c:numRef>
          </c:xVal>
          <c:yVal>
            <c:numRef>
              <c:f>Sheet1!$D$2:$D$31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8.0392000000000134</c:v>
                </c:pt>
                <c:pt idx="3">
                  <c:v>7.8539999999999894</c:v>
                </c:pt>
                <c:pt idx="4">
                  <c:v>6.5335999999999954</c:v>
                </c:pt>
                <c:pt idx="5">
                  <c:v>4.8571999999999953</c:v>
                </c:pt>
                <c:pt idx="6">
                  <c:v>3.4647999999999972</c:v>
                </c:pt>
                <c:pt idx="7">
                  <c:v>3.3152000000000048</c:v>
                </c:pt>
                <c:pt idx="8">
                  <c:v>2.3191999999999982</c:v>
                </c:pt>
                <c:pt idx="9">
                  <c:v>1.6176000000000024</c:v>
                </c:pt>
                <c:pt idx="10">
                  <c:v>1.2499999999999987</c:v>
                </c:pt>
                <c:pt idx="11">
                  <c:v>0.39199999999999963</c:v>
                </c:pt>
                <c:pt idx="12">
                  <c:v>9.0399999999999953E-2</c:v>
                </c:pt>
                <c:pt idx="13">
                  <c:v>0.13600000000000048</c:v>
                </c:pt>
                <c:pt idx="14">
                  <c:v>6.8799999999999931E-2</c:v>
                </c:pt>
                <c:pt idx="15">
                  <c:v>1.399999999999999E-2</c:v>
                </c:pt>
                <c:pt idx="16">
                  <c:v>4.7999999999999952E-2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17-4C7F-9171-0711C00CF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2863775"/>
        <c:axId val="642880847"/>
      </c:scatterChart>
      <c:valAx>
        <c:axId val="638607647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349327"/>
        <c:crosses val="autoZero"/>
        <c:crossBetween val="midCat"/>
      </c:valAx>
      <c:valAx>
        <c:axId val="63634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Pore Size Distribution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607647"/>
        <c:crosses val="autoZero"/>
        <c:crossBetween val="midCat"/>
      </c:valAx>
      <c:valAx>
        <c:axId val="64288084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Pore Size Distribution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863775"/>
        <c:crosses val="max"/>
        <c:crossBetween val="midCat"/>
      </c:valAx>
      <c:valAx>
        <c:axId val="6428637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42880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180974</xdr:colOff>
      <xdr:row>1</xdr:row>
      <xdr:rowOff>157161</xdr:rowOff>
    </xdr:from>
    <xdr:to>
      <xdr:col>20</xdr:col>
      <xdr:colOff>495299</xdr:colOff>
      <xdr:row>31</xdr:row>
      <xdr:rowOff>117156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51E159-7456-2D9F-F0FD-6554D47669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594D7-D524-4C7B-B376-D68CC69111AD}">
  <dimension ref="A1:H201"/>
  <sheetViews>
    <sheetView tabSelected="1" workbookViewId="0"/>
  </sheetViews>
  <sheetFormatPr defaultRowHeight="15" x14ac:dyDescent="0.25"/>
  <cols>
    <col min="3" max="3" width="14.85546875" bestFit="1" customWidth="1"/>
  </cols>
  <sheetData>
    <row r="1" spans="1:4" x14ac:dyDescent="0.25">
      <c r="A1" t="s">
        <v>3</v>
      </c>
      <c r="B1" t="s">
        <v>2</v>
      </c>
      <c r="C1" t="s">
        <v>0</v>
      </c>
      <c r="D1" t="s">
        <v>1</v>
      </c>
    </row>
    <row r="2" spans="1:4" x14ac:dyDescent="0.25">
      <c r="A2">
        <v>0</v>
      </c>
      <c r="B2">
        <f>A2/10</f>
        <v>0</v>
      </c>
      <c r="C2">
        <v>1</v>
      </c>
      <c r="D2">
        <v>0</v>
      </c>
    </row>
    <row r="3" spans="1:4" x14ac:dyDescent="0.25">
      <c r="A3">
        <v>3.15</v>
      </c>
      <c r="B3">
        <f t="shared" ref="B3:B31" si="0">A3/10</f>
        <v>0.315</v>
      </c>
      <c r="C3">
        <v>1</v>
      </c>
      <c r="D3">
        <f>(C2-C3)/(B3-B2)</f>
        <v>0</v>
      </c>
    </row>
    <row r="4" spans="1:4" x14ac:dyDescent="0.25">
      <c r="A4">
        <v>3.4</v>
      </c>
      <c r="B4">
        <f t="shared" si="0"/>
        <v>0.33999999999999997</v>
      </c>
      <c r="C4">
        <v>0.79901999999999995</v>
      </c>
      <c r="D4">
        <f t="shared" ref="D4:D31" si="1">(C3-C4)/(B4-B3)</f>
        <v>8.0392000000000134</v>
      </c>
    </row>
    <row r="5" spans="1:4" x14ac:dyDescent="0.25">
      <c r="A5">
        <v>3.65</v>
      </c>
      <c r="B5">
        <f t="shared" si="0"/>
        <v>0.36499999999999999</v>
      </c>
      <c r="C5">
        <v>0.60267000000000004</v>
      </c>
      <c r="D5">
        <f t="shared" si="1"/>
        <v>7.8539999999999894</v>
      </c>
    </row>
    <row r="6" spans="1:4" x14ac:dyDescent="0.25">
      <c r="A6">
        <v>3.9</v>
      </c>
      <c r="B6">
        <f t="shared" si="0"/>
        <v>0.39</v>
      </c>
      <c r="C6">
        <v>0.43933</v>
      </c>
      <c r="D6">
        <f t="shared" si="1"/>
        <v>6.5335999999999954</v>
      </c>
    </row>
    <row r="7" spans="1:4" x14ac:dyDescent="0.25">
      <c r="A7">
        <v>4.1500000000000004</v>
      </c>
      <c r="B7">
        <f t="shared" si="0"/>
        <v>0.41500000000000004</v>
      </c>
      <c r="C7">
        <v>0.31790000000000002</v>
      </c>
      <c r="D7">
        <f t="shared" si="1"/>
        <v>4.8571999999999953</v>
      </c>
    </row>
    <row r="8" spans="1:4" x14ac:dyDescent="0.25">
      <c r="A8">
        <v>4.4000000000000004</v>
      </c>
      <c r="B8">
        <f t="shared" si="0"/>
        <v>0.44000000000000006</v>
      </c>
      <c r="C8">
        <v>0.23128000000000001</v>
      </c>
      <c r="D8">
        <f t="shared" si="1"/>
        <v>3.4647999999999972</v>
      </c>
    </row>
    <row r="9" spans="1:4" x14ac:dyDescent="0.25">
      <c r="A9">
        <v>4.6500000000000004</v>
      </c>
      <c r="B9">
        <f t="shared" si="0"/>
        <v>0.46500000000000002</v>
      </c>
      <c r="C9">
        <v>0.1484</v>
      </c>
      <c r="D9">
        <f t="shared" si="1"/>
        <v>3.3152000000000048</v>
      </c>
    </row>
    <row r="10" spans="1:4" x14ac:dyDescent="0.25">
      <c r="A10">
        <v>4.9000000000000004</v>
      </c>
      <c r="B10">
        <f t="shared" si="0"/>
        <v>0.49000000000000005</v>
      </c>
      <c r="C10">
        <v>9.042E-2</v>
      </c>
      <c r="D10">
        <f t="shared" si="1"/>
        <v>2.3191999999999982</v>
      </c>
    </row>
    <row r="11" spans="1:4" x14ac:dyDescent="0.25">
      <c r="A11">
        <v>5.15</v>
      </c>
      <c r="B11">
        <f t="shared" si="0"/>
        <v>0.51500000000000001</v>
      </c>
      <c r="C11">
        <v>4.9979999999999997E-2</v>
      </c>
      <c r="D11">
        <f t="shared" si="1"/>
        <v>1.6176000000000024</v>
      </c>
    </row>
    <row r="12" spans="1:4" x14ac:dyDescent="0.25">
      <c r="A12">
        <v>5.4</v>
      </c>
      <c r="B12">
        <f t="shared" si="0"/>
        <v>0.54</v>
      </c>
      <c r="C12">
        <v>1.873E-2</v>
      </c>
      <c r="D12">
        <f t="shared" si="1"/>
        <v>1.2499999999999987</v>
      </c>
    </row>
    <row r="13" spans="1:4" x14ac:dyDescent="0.25">
      <c r="A13">
        <v>5.65</v>
      </c>
      <c r="B13">
        <f t="shared" si="0"/>
        <v>0.56500000000000006</v>
      </c>
      <c r="C13">
        <v>8.9300000000000004E-3</v>
      </c>
      <c r="D13">
        <f t="shared" si="1"/>
        <v>0.39199999999999963</v>
      </c>
    </row>
    <row r="14" spans="1:4" x14ac:dyDescent="0.25">
      <c r="A14">
        <v>5.9</v>
      </c>
      <c r="B14">
        <f t="shared" si="0"/>
        <v>0.59000000000000008</v>
      </c>
      <c r="C14">
        <v>6.6699999999999997E-3</v>
      </c>
      <c r="D14">
        <f t="shared" si="1"/>
        <v>9.0399999999999953E-2</v>
      </c>
    </row>
    <row r="15" spans="1:4" x14ac:dyDescent="0.25">
      <c r="A15">
        <v>6.15</v>
      </c>
      <c r="B15">
        <f t="shared" si="0"/>
        <v>0.61499999999999999</v>
      </c>
      <c r="C15">
        <v>3.2699999999999999E-3</v>
      </c>
      <c r="D15">
        <f t="shared" si="1"/>
        <v>0.13600000000000048</v>
      </c>
    </row>
    <row r="16" spans="1:4" x14ac:dyDescent="0.25">
      <c r="A16">
        <v>6.4</v>
      </c>
      <c r="B16">
        <f t="shared" si="0"/>
        <v>0.64</v>
      </c>
      <c r="C16">
        <v>1.5499999999999999E-3</v>
      </c>
      <c r="D16">
        <f t="shared" si="1"/>
        <v>6.8799999999999931E-2</v>
      </c>
    </row>
    <row r="17" spans="1:8" x14ac:dyDescent="0.25">
      <c r="A17">
        <v>6.65</v>
      </c>
      <c r="B17">
        <f t="shared" si="0"/>
        <v>0.66500000000000004</v>
      </c>
      <c r="C17">
        <v>1.1999999999999999E-3</v>
      </c>
      <c r="D17">
        <f t="shared" si="1"/>
        <v>1.399999999999999E-2</v>
      </c>
    </row>
    <row r="18" spans="1:8" x14ac:dyDescent="0.25">
      <c r="A18">
        <v>6.9</v>
      </c>
      <c r="B18">
        <f t="shared" si="0"/>
        <v>0.69000000000000006</v>
      </c>
      <c r="C18">
        <v>0</v>
      </c>
      <c r="D18">
        <f t="shared" si="1"/>
        <v>4.7999999999999952E-2</v>
      </c>
    </row>
    <row r="19" spans="1:8" x14ac:dyDescent="0.25">
      <c r="A19">
        <v>7.15</v>
      </c>
      <c r="B19">
        <f t="shared" si="0"/>
        <v>0.71500000000000008</v>
      </c>
      <c r="C19">
        <v>0</v>
      </c>
      <c r="D19">
        <f t="shared" si="1"/>
        <v>0</v>
      </c>
    </row>
    <row r="20" spans="1:8" x14ac:dyDescent="0.25">
      <c r="A20">
        <v>7.4</v>
      </c>
      <c r="B20">
        <f t="shared" si="0"/>
        <v>0.74</v>
      </c>
      <c r="C20">
        <v>0</v>
      </c>
      <c r="D20">
        <f t="shared" si="1"/>
        <v>0</v>
      </c>
    </row>
    <row r="21" spans="1:8" x14ac:dyDescent="0.25">
      <c r="A21">
        <v>7.65</v>
      </c>
      <c r="B21">
        <f t="shared" si="0"/>
        <v>0.76500000000000001</v>
      </c>
      <c r="C21">
        <v>0</v>
      </c>
      <c r="D21">
        <f t="shared" si="1"/>
        <v>0</v>
      </c>
    </row>
    <row r="22" spans="1:8" x14ac:dyDescent="0.25">
      <c r="A22">
        <v>7.9</v>
      </c>
      <c r="B22">
        <f t="shared" si="0"/>
        <v>0.79</v>
      </c>
      <c r="C22">
        <v>0</v>
      </c>
      <c r="D22">
        <f t="shared" si="1"/>
        <v>0</v>
      </c>
    </row>
    <row r="23" spans="1:8" x14ac:dyDescent="0.25">
      <c r="A23">
        <v>8.15</v>
      </c>
      <c r="B23">
        <f t="shared" si="0"/>
        <v>0.81500000000000006</v>
      </c>
      <c r="C23">
        <v>0</v>
      </c>
      <c r="D23">
        <f t="shared" si="1"/>
        <v>0</v>
      </c>
    </row>
    <row r="24" spans="1:8" x14ac:dyDescent="0.25">
      <c r="A24">
        <v>8.4</v>
      </c>
      <c r="B24">
        <f t="shared" si="0"/>
        <v>0.84000000000000008</v>
      </c>
      <c r="C24">
        <v>0</v>
      </c>
      <c r="D24">
        <f t="shared" si="1"/>
        <v>0</v>
      </c>
    </row>
    <row r="25" spans="1:8" x14ac:dyDescent="0.25">
      <c r="A25">
        <v>8.65</v>
      </c>
      <c r="B25">
        <f t="shared" si="0"/>
        <v>0.86499999999999999</v>
      </c>
      <c r="C25">
        <v>0</v>
      </c>
      <c r="D25">
        <f t="shared" si="1"/>
        <v>0</v>
      </c>
    </row>
    <row r="26" spans="1:8" x14ac:dyDescent="0.25">
      <c r="A26">
        <v>8.9</v>
      </c>
      <c r="B26">
        <f t="shared" si="0"/>
        <v>0.89</v>
      </c>
      <c r="C26">
        <v>0</v>
      </c>
      <c r="D26">
        <f t="shared" si="1"/>
        <v>0</v>
      </c>
    </row>
    <row r="27" spans="1:8" x14ac:dyDescent="0.25">
      <c r="A27">
        <v>9.15</v>
      </c>
      <c r="B27">
        <f t="shared" si="0"/>
        <v>0.91500000000000004</v>
      </c>
      <c r="C27">
        <v>0</v>
      </c>
      <c r="D27">
        <f t="shared" si="1"/>
        <v>0</v>
      </c>
    </row>
    <row r="28" spans="1:8" x14ac:dyDescent="0.25">
      <c r="A28">
        <v>9.4</v>
      </c>
      <c r="B28">
        <f t="shared" si="0"/>
        <v>0.94000000000000006</v>
      </c>
      <c r="C28">
        <v>0</v>
      </c>
      <c r="D28">
        <f t="shared" si="1"/>
        <v>0</v>
      </c>
    </row>
    <row r="29" spans="1:8" x14ac:dyDescent="0.25">
      <c r="A29">
        <v>9.65</v>
      </c>
      <c r="B29">
        <f t="shared" si="0"/>
        <v>0.96500000000000008</v>
      </c>
      <c r="C29">
        <v>0</v>
      </c>
      <c r="D29">
        <f t="shared" si="1"/>
        <v>0</v>
      </c>
    </row>
    <row r="30" spans="1:8" x14ac:dyDescent="0.25">
      <c r="A30">
        <v>9.9</v>
      </c>
      <c r="B30">
        <f t="shared" si="0"/>
        <v>0.99</v>
      </c>
      <c r="C30">
        <v>0</v>
      </c>
      <c r="D30">
        <f t="shared" si="1"/>
        <v>0</v>
      </c>
    </row>
    <row r="31" spans="1:8" x14ac:dyDescent="0.25">
      <c r="A31">
        <v>10.15</v>
      </c>
      <c r="B31">
        <f t="shared" si="0"/>
        <v>1.0150000000000001</v>
      </c>
      <c r="C31">
        <v>0</v>
      </c>
      <c r="D31">
        <f t="shared" si="1"/>
        <v>0</v>
      </c>
      <c r="H31" s="1"/>
    </row>
    <row r="32" spans="1:8" x14ac:dyDescent="0.25">
      <c r="H32" s="1"/>
    </row>
    <row r="33" spans="7:8" x14ac:dyDescent="0.25">
      <c r="H33" s="1"/>
    </row>
    <row r="34" spans="7:8" x14ac:dyDescent="0.25">
      <c r="G34">
        <f>3.9/2</f>
        <v>1.95</v>
      </c>
      <c r="H34" s="1"/>
    </row>
    <row r="35" spans="7:8" x14ac:dyDescent="0.25">
      <c r="H35" s="1"/>
    </row>
    <row r="36" spans="7:8" x14ac:dyDescent="0.25">
      <c r="H36" s="1"/>
    </row>
    <row r="37" spans="7:8" x14ac:dyDescent="0.25">
      <c r="H37" s="1"/>
    </row>
    <row r="38" spans="7:8" x14ac:dyDescent="0.25">
      <c r="H38" s="1"/>
    </row>
    <row r="39" spans="7:8" x14ac:dyDescent="0.25">
      <c r="H39" s="1"/>
    </row>
    <row r="40" spans="7:8" x14ac:dyDescent="0.25">
      <c r="H40" s="1"/>
    </row>
    <row r="41" spans="7:8" x14ac:dyDescent="0.25">
      <c r="H41" s="1"/>
    </row>
    <row r="42" spans="7:8" x14ac:dyDescent="0.25">
      <c r="H42" s="1"/>
    </row>
    <row r="43" spans="7:8" x14ac:dyDescent="0.25">
      <c r="H43" s="1"/>
    </row>
    <row r="44" spans="7:8" x14ac:dyDescent="0.25">
      <c r="H44" s="1"/>
    </row>
    <row r="45" spans="7:8" x14ac:dyDescent="0.25">
      <c r="H45" s="1"/>
    </row>
    <row r="46" spans="7:8" x14ac:dyDescent="0.25">
      <c r="H46" s="1"/>
    </row>
    <row r="47" spans="7:8" x14ac:dyDescent="0.25">
      <c r="H47" s="1"/>
    </row>
    <row r="48" spans="7:8" x14ac:dyDescent="0.25">
      <c r="H48" s="1"/>
    </row>
    <row r="49" spans="8:8" x14ac:dyDescent="0.25">
      <c r="H49" s="1"/>
    </row>
    <row r="50" spans="8:8" x14ac:dyDescent="0.25">
      <c r="H50" s="1"/>
    </row>
    <row r="51" spans="8:8" x14ac:dyDescent="0.25">
      <c r="H51" s="1"/>
    </row>
    <row r="52" spans="8:8" x14ac:dyDescent="0.25">
      <c r="H52" s="1"/>
    </row>
    <row r="53" spans="8:8" x14ac:dyDescent="0.25">
      <c r="H53" s="1"/>
    </row>
    <row r="54" spans="8:8" x14ac:dyDescent="0.25">
      <c r="H54" s="1"/>
    </row>
    <row r="55" spans="8:8" x14ac:dyDescent="0.25">
      <c r="H55" s="1"/>
    </row>
    <row r="56" spans="8:8" x14ac:dyDescent="0.25">
      <c r="H56" s="1"/>
    </row>
    <row r="57" spans="8:8" x14ac:dyDescent="0.25">
      <c r="H57" s="1"/>
    </row>
    <row r="58" spans="8:8" x14ac:dyDescent="0.25">
      <c r="H58" s="1"/>
    </row>
    <row r="59" spans="8:8" x14ac:dyDescent="0.25">
      <c r="H59" s="1"/>
    </row>
    <row r="60" spans="8:8" x14ac:dyDescent="0.25">
      <c r="H60" s="1"/>
    </row>
    <row r="61" spans="8:8" x14ac:dyDescent="0.25">
      <c r="H61" s="1"/>
    </row>
    <row r="62" spans="8:8" x14ac:dyDescent="0.25">
      <c r="H62" s="1"/>
    </row>
    <row r="63" spans="8:8" x14ac:dyDescent="0.25">
      <c r="H63" s="1"/>
    </row>
    <row r="64" spans="8:8" x14ac:dyDescent="0.25">
      <c r="H64" s="1"/>
    </row>
    <row r="65" spans="8:8" x14ac:dyDescent="0.25">
      <c r="H65" s="1"/>
    </row>
    <row r="66" spans="8:8" x14ac:dyDescent="0.25">
      <c r="H66" s="1"/>
    </row>
    <row r="67" spans="8:8" x14ac:dyDescent="0.25">
      <c r="H67" s="1"/>
    </row>
    <row r="68" spans="8:8" x14ac:dyDescent="0.25">
      <c r="H68" s="1"/>
    </row>
    <row r="69" spans="8:8" x14ac:dyDescent="0.25">
      <c r="H69" s="1"/>
    </row>
    <row r="70" spans="8:8" x14ac:dyDescent="0.25">
      <c r="H70" s="1"/>
    </row>
    <row r="71" spans="8:8" x14ac:dyDescent="0.25">
      <c r="H71" s="1"/>
    </row>
    <row r="72" spans="8:8" x14ac:dyDescent="0.25">
      <c r="H72" s="1"/>
    </row>
    <row r="73" spans="8:8" x14ac:dyDescent="0.25">
      <c r="H73" s="1"/>
    </row>
    <row r="74" spans="8:8" x14ac:dyDescent="0.25">
      <c r="H74" s="1"/>
    </row>
    <row r="75" spans="8:8" x14ac:dyDescent="0.25">
      <c r="H75" s="1"/>
    </row>
    <row r="76" spans="8:8" x14ac:dyDescent="0.25">
      <c r="H76" s="1"/>
    </row>
    <row r="77" spans="8:8" x14ac:dyDescent="0.25">
      <c r="H77" s="1"/>
    </row>
    <row r="78" spans="8:8" x14ac:dyDescent="0.25">
      <c r="H78" s="1"/>
    </row>
    <row r="79" spans="8:8" x14ac:dyDescent="0.25">
      <c r="H79" s="1"/>
    </row>
    <row r="80" spans="8:8" x14ac:dyDescent="0.25">
      <c r="H80" s="1"/>
    </row>
    <row r="81" spans="8:8" x14ac:dyDescent="0.25">
      <c r="H81" s="1"/>
    </row>
    <row r="82" spans="8:8" x14ac:dyDescent="0.25">
      <c r="H82" s="1"/>
    </row>
    <row r="83" spans="8:8" x14ac:dyDescent="0.25">
      <c r="H83" s="1"/>
    </row>
    <row r="84" spans="8:8" x14ac:dyDescent="0.25">
      <c r="H84" s="1"/>
    </row>
    <row r="85" spans="8:8" x14ac:dyDescent="0.25">
      <c r="H85" s="1"/>
    </row>
    <row r="86" spans="8:8" x14ac:dyDescent="0.25">
      <c r="H86" s="1"/>
    </row>
    <row r="87" spans="8:8" x14ac:dyDescent="0.25">
      <c r="H87" s="1"/>
    </row>
    <row r="88" spans="8:8" x14ac:dyDescent="0.25">
      <c r="H88" s="1"/>
    </row>
    <row r="89" spans="8:8" x14ac:dyDescent="0.25">
      <c r="H89" s="1"/>
    </row>
    <row r="90" spans="8:8" x14ac:dyDescent="0.25">
      <c r="H90" s="1"/>
    </row>
    <row r="91" spans="8:8" x14ac:dyDescent="0.25">
      <c r="H91" s="1"/>
    </row>
    <row r="92" spans="8:8" x14ac:dyDescent="0.25">
      <c r="H92" s="1"/>
    </row>
    <row r="93" spans="8:8" x14ac:dyDescent="0.25">
      <c r="H93" s="1"/>
    </row>
    <row r="94" spans="8:8" x14ac:dyDescent="0.25">
      <c r="H94" s="1"/>
    </row>
    <row r="95" spans="8:8" x14ac:dyDescent="0.25">
      <c r="H95" s="1"/>
    </row>
    <row r="96" spans="8:8" x14ac:dyDescent="0.25">
      <c r="H96" s="1"/>
    </row>
    <row r="97" spans="8:8" x14ac:dyDescent="0.25">
      <c r="H97" s="1"/>
    </row>
    <row r="98" spans="8:8" x14ac:dyDescent="0.25">
      <c r="H98" s="1"/>
    </row>
    <row r="99" spans="8:8" x14ac:dyDescent="0.25">
      <c r="H99" s="1"/>
    </row>
    <row r="100" spans="8:8" x14ac:dyDescent="0.25">
      <c r="H100" s="1"/>
    </row>
    <row r="101" spans="8:8" x14ac:dyDescent="0.25">
      <c r="H101" s="1"/>
    </row>
    <row r="102" spans="8:8" x14ac:dyDescent="0.25">
      <c r="H102" s="1"/>
    </row>
    <row r="103" spans="8:8" x14ac:dyDescent="0.25">
      <c r="H103" s="1"/>
    </row>
    <row r="104" spans="8:8" x14ac:dyDescent="0.25">
      <c r="H104" s="1"/>
    </row>
    <row r="105" spans="8:8" x14ac:dyDescent="0.25">
      <c r="H105" s="1"/>
    </row>
    <row r="106" spans="8:8" x14ac:dyDescent="0.25">
      <c r="H106" s="1"/>
    </row>
    <row r="107" spans="8:8" x14ac:dyDescent="0.25">
      <c r="H107" s="1"/>
    </row>
    <row r="108" spans="8:8" x14ac:dyDescent="0.25">
      <c r="H108" s="1"/>
    </row>
    <row r="109" spans="8:8" x14ac:dyDescent="0.25">
      <c r="H109" s="1"/>
    </row>
    <row r="110" spans="8:8" x14ac:dyDescent="0.25">
      <c r="H110" s="1"/>
    </row>
    <row r="111" spans="8:8" x14ac:dyDescent="0.25">
      <c r="H111" s="1"/>
    </row>
    <row r="112" spans="8:8" x14ac:dyDescent="0.25">
      <c r="H112" s="1"/>
    </row>
    <row r="113" spans="8:8" x14ac:dyDescent="0.25">
      <c r="H113" s="1"/>
    </row>
    <row r="114" spans="8:8" x14ac:dyDescent="0.25">
      <c r="H114" s="1"/>
    </row>
    <row r="115" spans="8:8" x14ac:dyDescent="0.25">
      <c r="H115" s="1"/>
    </row>
    <row r="116" spans="8:8" x14ac:dyDescent="0.25">
      <c r="H116" s="1"/>
    </row>
    <row r="117" spans="8:8" x14ac:dyDescent="0.25">
      <c r="H117" s="1"/>
    </row>
    <row r="118" spans="8:8" x14ac:dyDescent="0.25">
      <c r="H118" s="1"/>
    </row>
    <row r="119" spans="8:8" x14ac:dyDescent="0.25">
      <c r="H119" s="1"/>
    </row>
    <row r="120" spans="8:8" x14ac:dyDescent="0.25">
      <c r="H120" s="1"/>
    </row>
    <row r="121" spans="8:8" x14ac:dyDescent="0.25">
      <c r="H121" s="1"/>
    </row>
    <row r="122" spans="8:8" x14ac:dyDescent="0.25">
      <c r="H122" s="1"/>
    </row>
    <row r="123" spans="8:8" x14ac:dyDescent="0.25">
      <c r="H123" s="1"/>
    </row>
    <row r="124" spans="8:8" x14ac:dyDescent="0.25">
      <c r="H124" s="1"/>
    </row>
    <row r="125" spans="8:8" x14ac:dyDescent="0.25">
      <c r="H125" s="1"/>
    </row>
    <row r="126" spans="8:8" x14ac:dyDescent="0.25">
      <c r="H126" s="1"/>
    </row>
    <row r="127" spans="8:8" x14ac:dyDescent="0.25">
      <c r="H127" s="1"/>
    </row>
    <row r="128" spans="8:8" x14ac:dyDescent="0.25">
      <c r="H128" s="1"/>
    </row>
    <row r="129" spans="8:8" x14ac:dyDescent="0.25">
      <c r="H129" s="1"/>
    </row>
    <row r="130" spans="8:8" x14ac:dyDescent="0.25">
      <c r="H130" s="1"/>
    </row>
    <row r="131" spans="8:8" x14ac:dyDescent="0.25">
      <c r="H131" s="1"/>
    </row>
    <row r="132" spans="8:8" x14ac:dyDescent="0.25">
      <c r="H132" s="1"/>
    </row>
    <row r="133" spans="8:8" x14ac:dyDescent="0.25">
      <c r="H133" s="1"/>
    </row>
    <row r="134" spans="8:8" x14ac:dyDescent="0.25">
      <c r="H134" s="1"/>
    </row>
    <row r="135" spans="8:8" x14ac:dyDescent="0.25">
      <c r="H135" s="1"/>
    </row>
    <row r="136" spans="8:8" x14ac:dyDescent="0.25">
      <c r="H136" s="1"/>
    </row>
    <row r="137" spans="8:8" x14ac:dyDescent="0.25">
      <c r="H137" s="1"/>
    </row>
    <row r="138" spans="8:8" x14ac:dyDescent="0.25">
      <c r="H138" s="1"/>
    </row>
    <row r="139" spans="8:8" x14ac:dyDescent="0.25">
      <c r="H139" s="1"/>
    </row>
    <row r="140" spans="8:8" x14ac:dyDescent="0.25">
      <c r="H140" s="1"/>
    </row>
    <row r="141" spans="8:8" x14ac:dyDescent="0.25">
      <c r="H141" s="1"/>
    </row>
    <row r="142" spans="8:8" x14ac:dyDescent="0.25">
      <c r="H142" s="1"/>
    </row>
    <row r="143" spans="8:8" x14ac:dyDescent="0.25">
      <c r="H143" s="1"/>
    </row>
    <row r="144" spans="8:8" x14ac:dyDescent="0.25">
      <c r="H144" s="1"/>
    </row>
    <row r="145" spans="8:8" x14ac:dyDescent="0.25">
      <c r="H145" s="1"/>
    </row>
    <row r="146" spans="8:8" x14ac:dyDescent="0.25">
      <c r="H146" s="1"/>
    </row>
    <row r="147" spans="8:8" x14ac:dyDescent="0.25">
      <c r="H147" s="1"/>
    </row>
    <row r="148" spans="8:8" x14ac:dyDescent="0.25">
      <c r="H148" s="1"/>
    </row>
    <row r="149" spans="8:8" x14ac:dyDescent="0.25">
      <c r="H149" s="1"/>
    </row>
    <row r="150" spans="8:8" x14ac:dyDescent="0.25">
      <c r="H150" s="1"/>
    </row>
    <row r="151" spans="8:8" x14ac:dyDescent="0.25">
      <c r="H151" s="1"/>
    </row>
    <row r="152" spans="8:8" x14ac:dyDescent="0.25">
      <c r="H152" s="1"/>
    </row>
    <row r="153" spans="8:8" x14ac:dyDescent="0.25">
      <c r="H153" s="1"/>
    </row>
    <row r="154" spans="8:8" x14ac:dyDescent="0.25">
      <c r="H154" s="1"/>
    </row>
    <row r="155" spans="8:8" x14ac:dyDescent="0.25">
      <c r="H155" s="1"/>
    </row>
    <row r="156" spans="8:8" x14ac:dyDescent="0.25">
      <c r="H156" s="1"/>
    </row>
    <row r="157" spans="8:8" x14ac:dyDescent="0.25">
      <c r="H157" s="1"/>
    </row>
    <row r="158" spans="8:8" x14ac:dyDescent="0.25">
      <c r="H158" s="1"/>
    </row>
    <row r="159" spans="8:8" x14ac:dyDescent="0.25">
      <c r="H159" s="1"/>
    </row>
    <row r="160" spans="8:8" x14ac:dyDescent="0.25">
      <c r="H160" s="1"/>
    </row>
    <row r="161" spans="8:8" x14ac:dyDescent="0.25">
      <c r="H161" s="1"/>
    </row>
    <row r="162" spans="8:8" x14ac:dyDescent="0.25">
      <c r="H162" s="1"/>
    </row>
    <row r="163" spans="8:8" x14ac:dyDescent="0.25">
      <c r="H163" s="1"/>
    </row>
    <row r="164" spans="8:8" x14ac:dyDescent="0.25">
      <c r="H164" s="1"/>
    </row>
    <row r="165" spans="8:8" x14ac:dyDescent="0.25">
      <c r="H165" s="1"/>
    </row>
    <row r="166" spans="8:8" x14ac:dyDescent="0.25">
      <c r="H166" s="1"/>
    </row>
    <row r="167" spans="8:8" x14ac:dyDescent="0.25">
      <c r="H167" s="1"/>
    </row>
    <row r="168" spans="8:8" x14ac:dyDescent="0.25">
      <c r="H168" s="1"/>
    </row>
    <row r="169" spans="8:8" x14ac:dyDescent="0.25">
      <c r="H169" s="1"/>
    </row>
    <row r="170" spans="8:8" x14ac:dyDescent="0.25">
      <c r="H170" s="1"/>
    </row>
    <row r="171" spans="8:8" x14ac:dyDescent="0.25">
      <c r="H171" s="1"/>
    </row>
    <row r="172" spans="8:8" x14ac:dyDescent="0.25">
      <c r="H172" s="1"/>
    </row>
    <row r="173" spans="8:8" x14ac:dyDescent="0.25">
      <c r="H173" s="1"/>
    </row>
    <row r="174" spans="8:8" x14ac:dyDescent="0.25">
      <c r="H174" s="1"/>
    </row>
    <row r="175" spans="8:8" x14ac:dyDescent="0.25">
      <c r="H175" s="1"/>
    </row>
    <row r="176" spans="8:8" x14ac:dyDescent="0.25">
      <c r="H176" s="1"/>
    </row>
    <row r="177" spans="8:8" x14ac:dyDescent="0.25">
      <c r="H177" s="1"/>
    </row>
    <row r="178" spans="8:8" x14ac:dyDescent="0.25">
      <c r="H178" s="1"/>
    </row>
    <row r="179" spans="8:8" x14ac:dyDescent="0.25">
      <c r="H179" s="1"/>
    </row>
    <row r="180" spans="8:8" x14ac:dyDescent="0.25">
      <c r="H180" s="1"/>
    </row>
    <row r="181" spans="8:8" x14ac:dyDescent="0.25">
      <c r="H181" s="1"/>
    </row>
    <row r="182" spans="8:8" x14ac:dyDescent="0.25">
      <c r="H182" s="1"/>
    </row>
    <row r="183" spans="8:8" x14ac:dyDescent="0.25">
      <c r="H183" s="1"/>
    </row>
    <row r="184" spans="8:8" x14ac:dyDescent="0.25">
      <c r="H184" s="1"/>
    </row>
    <row r="185" spans="8:8" x14ac:dyDescent="0.25">
      <c r="H185" s="1"/>
    </row>
    <row r="186" spans="8:8" x14ac:dyDescent="0.25">
      <c r="H186" s="1"/>
    </row>
    <row r="187" spans="8:8" x14ac:dyDescent="0.25">
      <c r="H187" s="1"/>
    </row>
    <row r="188" spans="8:8" x14ac:dyDescent="0.25">
      <c r="H188" s="1"/>
    </row>
    <row r="189" spans="8:8" x14ac:dyDescent="0.25">
      <c r="H189" s="1"/>
    </row>
    <row r="190" spans="8:8" x14ac:dyDescent="0.25">
      <c r="H190" s="1"/>
    </row>
    <row r="191" spans="8:8" x14ac:dyDescent="0.25">
      <c r="H191" s="1"/>
    </row>
    <row r="192" spans="8:8" x14ac:dyDescent="0.25">
      <c r="H192" s="1"/>
    </row>
    <row r="193" spans="8:8" x14ac:dyDescent="0.25">
      <c r="H193" s="1"/>
    </row>
    <row r="194" spans="8:8" x14ac:dyDescent="0.25">
      <c r="H194" s="1"/>
    </row>
    <row r="195" spans="8:8" x14ac:dyDescent="0.25">
      <c r="H195" s="1"/>
    </row>
    <row r="196" spans="8:8" x14ac:dyDescent="0.25">
      <c r="H196" s="1"/>
    </row>
    <row r="197" spans="8:8" x14ac:dyDescent="0.25">
      <c r="H197" s="1"/>
    </row>
    <row r="198" spans="8:8" x14ac:dyDescent="0.25">
      <c r="H198" s="1"/>
    </row>
    <row r="199" spans="8:8" x14ac:dyDescent="0.25">
      <c r="H199" s="1"/>
    </row>
    <row r="200" spans="8:8" x14ac:dyDescent="0.25">
      <c r="H200" s="1"/>
    </row>
    <row r="201" spans="8:8" x14ac:dyDescent="0.25">
      <c r="H201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 Marioni</dc:creator>
  <cp:lastModifiedBy>Nico Marioni</cp:lastModifiedBy>
  <dcterms:created xsi:type="dcterms:W3CDTF">2026-04-09T14:25:09Z</dcterms:created>
  <dcterms:modified xsi:type="dcterms:W3CDTF">2026-07-17T19:27:45Z</dcterms:modified>
</cp:coreProperties>
</file>