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ARSE/tests/trj/Example_AEM/Example_output_files/"/>
    </mc:Choice>
  </mc:AlternateContent>
  <xr:revisionPtr revIDLastSave="137" documentId="8_{7149973D-7FBA-47E4-9186-8284705DD2B8}" xr6:coauthVersionLast="47" xr6:coauthVersionMax="47" xr10:uidLastSave="{6F858D45-624F-44D1-A43C-ADABBDA61119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I32" i="1" s="1"/>
  <c r="G31" i="1"/>
  <c r="I31" i="1" s="1"/>
  <c r="G30" i="1"/>
  <c r="I30" i="1" s="1"/>
  <c r="G29" i="1"/>
  <c r="I29" i="1" s="1"/>
  <c r="G28" i="1"/>
  <c r="I28" i="1" s="1"/>
  <c r="G27" i="1"/>
  <c r="I27" i="1" s="1"/>
  <c r="G26" i="1"/>
  <c r="I26" i="1" s="1"/>
  <c r="G25" i="1"/>
  <c r="I25" i="1" s="1"/>
  <c r="G24" i="1"/>
  <c r="I24" i="1" s="1"/>
  <c r="G23" i="1"/>
  <c r="I23" i="1" s="1"/>
  <c r="G22" i="1"/>
  <c r="I22" i="1" s="1"/>
  <c r="G21" i="1"/>
  <c r="I21" i="1" s="1"/>
  <c r="G20" i="1"/>
  <c r="I20" i="1" s="1"/>
  <c r="G19" i="1"/>
  <c r="I19" i="1" s="1"/>
  <c r="G18" i="1"/>
  <c r="I18" i="1" s="1"/>
  <c r="G17" i="1"/>
  <c r="I17" i="1" s="1"/>
  <c r="G16" i="1"/>
  <c r="I16" i="1" s="1"/>
  <c r="G15" i="1"/>
  <c r="I15" i="1" s="1"/>
  <c r="G14" i="1"/>
  <c r="I14" i="1" s="1"/>
  <c r="G13" i="1"/>
  <c r="I13" i="1" s="1"/>
  <c r="G12" i="1"/>
  <c r="I12" i="1" s="1"/>
  <c r="G11" i="1"/>
  <c r="I11" i="1" s="1"/>
  <c r="G10" i="1"/>
  <c r="I10" i="1" s="1"/>
  <c r="G9" i="1"/>
  <c r="I9" i="1" s="1"/>
  <c r="G8" i="1"/>
  <c r="I8" i="1" s="1"/>
  <c r="G7" i="1"/>
  <c r="I7" i="1" s="1"/>
  <c r="G6" i="1"/>
  <c r="I6" i="1" s="1"/>
  <c r="G5" i="1"/>
  <c r="I5" i="1" s="1"/>
  <c r="G4" i="1"/>
  <c r="I4" i="1" s="1"/>
  <c r="G3" i="1"/>
  <c r="B19" i="1"/>
  <c r="B20" i="1"/>
  <c r="D20" i="1" s="1"/>
  <c r="B21" i="1"/>
  <c r="D21" i="1" s="1"/>
  <c r="B22" i="1"/>
  <c r="D22" i="1" s="1"/>
  <c r="B23" i="1"/>
  <c r="D23" i="1" s="1"/>
  <c r="B24" i="1"/>
  <c r="B25" i="1"/>
  <c r="D25" i="1" s="1"/>
  <c r="B26" i="1"/>
  <c r="D26" i="1" s="1"/>
  <c r="B27" i="1"/>
  <c r="D27" i="1" s="1"/>
  <c r="B28" i="1"/>
  <c r="B29" i="1"/>
  <c r="B30" i="1"/>
  <c r="B31" i="1"/>
  <c r="D31" i="1" s="1"/>
  <c r="B32" i="1"/>
  <c r="B3" i="1"/>
  <c r="B4" i="1"/>
  <c r="D4" i="1" s="1"/>
  <c r="B5" i="1"/>
  <c r="B6" i="1"/>
  <c r="B7" i="1"/>
  <c r="D7" i="1" s="1"/>
  <c r="B8" i="1"/>
  <c r="D8" i="1" s="1"/>
  <c r="B9" i="1"/>
  <c r="D9" i="1" s="1"/>
  <c r="B10" i="1"/>
  <c r="D10" i="1" s="1"/>
  <c r="B11" i="1"/>
  <c r="B12" i="1"/>
  <c r="D12" i="1" s="1"/>
  <c r="B13" i="1"/>
  <c r="B14" i="1"/>
  <c r="D14" i="1" s="1"/>
  <c r="B15" i="1"/>
  <c r="D15" i="1" s="1"/>
  <c r="B16" i="1"/>
  <c r="D16" i="1" s="1"/>
  <c r="B17" i="1"/>
  <c r="B18" i="1"/>
  <c r="D13" i="1" l="1"/>
  <c r="D32" i="1"/>
  <c r="D30" i="1"/>
  <c r="D28" i="1"/>
  <c r="D17" i="1"/>
  <c r="D19" i="1"/>
  <c r="D29" i="1"/>
  <c r="D24" i="1"/>
  <c r="D18" i="1"/>
  <c r="D11" i="1"/>
  <c r="D6" i="1"/>
  <c r="D5" i="1"/>
</calcChain>
</file>

<file path=xl/sharedStrings.xml><?xml version="1.0" encoding="utf-8"?>
<sst xmlns="http://schemas.openxmlformats.org/spreadsheetml/2006/main" count="10" uniqueCount="6">
  <si>
    <t>Cumulaitve PSD</t>
  </si>
  <si>
    <t>PSD</t>
  </si>
  <si>
    <t>d (nm)</t>
  </si>
  <si>
    <t>d (A)</t>
  </si>
  <si>
    <t>PARSE, 1 frame</t>
  </si>
  <si>
    <t>PARSE, 23 frames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</si>
</sst>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Sheet1!$B$3:$B$32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Sheet1!$C$3:$C$32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0.79901999999999995</c:v>
                </c:pt>
                <c:pt idx="3">
                  <c:v>0.60267000000000004</c:v>
                </c:pt>
                <c:pt idx="4">
                  <c:v>0.43933</c:v>
                </c:pt>
                <c:pt idx="5">
                  <c:v>0.31790000000000002</c:v>
                </c:pt>
                <c:pt idx="6">
                  <c:v>0.23128000000000001</c:v>
                </c:pt>
                <c:pt idx="7">
                  <c:v>0.1484</c:v>
                </c:pt>
                <c:pt idx="8">
                  <c:v>9.042E-2</c:v>
                </c:pt>
                <c:pt idx="9">
                  <c:v>4.9979999999999997E-2</c:v>
                </c:pt>
                <c:pt idx="10">
                  <c:v>1.873E-2</c:v>
                </c:pt>
                <c:pt idx="11">
                  <c:v>8.9300000000000004E-3</c:v>
                </c:pt>
                <c:pt idx="12">
                  <c:v>6.6699999999999997E-3</c:v>
                </c:pt>
                <c:pt idx="13">
                  <c:v>3.2699999999999999E-3</c:v>
                </c:pt>
                <c:pt idx="14">
                  <c:v>1.5499999999999999E-3</c:v>
                </c:pt>
                <c:pt idx="15">
                  <c:v>1.1999999999999999E-3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Sheet1!$B$3:$B$32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Sheet1!$D$3:$D$32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8.0392000000000134</c:v>
                </c:pt>
                <c:pt idx="3">
                  <c:v>7.8539999999999894</c:v>
                </c:pt>
                <c:pt idx="4">
                  <c:v>6.5335999999999954</c:v>
                </c:pt>
                <c:pt idx="5">
                  <c:v>4.8571999999999953</c:v>
                </c:pt>
                <c:pt idx="6">
                  <c:v>3.4647999999999972</c:v>
                </c:pt>
                <c:pt idx="7">
                  <c:v>3.3152000000000048</c:v>
                </c:pt>
                <c:pt idx="8">
                  <c:v>2.3191999999999982</c:v>
                </c:pt>
                <c:pt idx="9">
                  <c:v>1.6176000000000024</c:v>
                </c:pt>
                <c:pt idx="10">
                  <c:v>1.2499999999999987</c:v>
                </c:pt>
                <c:pt idx="11">
                  <c:v>0.39199999999999963</c:v>
                </c:pt>
                <c:pt idx="12">
                  <c:v>9.0399999999999953E-2</c:v>
                </c:pt>
                <c:pt idx="13">
                  <c:v>0.13600000000000048</c:v>
                </c:pt>
                <c:pt idx="14">
                  <c:v>6.8799999999999931E-2</c:v>
                </c:pt>
                <c:pt idx="15">
                  <c:v>1.399999999999999E-2</c:v>
                </c:pt>
                <c:pt idx="16">
                  <c:v>4.7999999999999952E-2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1 Frame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Sheet1!$B$3:$B$32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Sheet1!$D$3:$D$32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8.0392000000000134</c:v>
                </c:pt>
                <c:pt idx="3">
                  <c:v>7.8539999999999894</c:v>
                </c:pt>
                <c:pt idx="4">
                  <c:v>6.5335999999999954</c:v>
                </c:pt>
                <c:pt idx="5">
                  <c:v>4.8571999999999953</c:v>
                </c:pt>
                <c:pt idx="6">
                  <c:v>3.4647999999999972</c:v>
                </c:pt>
                <c:pt idx="7">
                  <c:v>3.3152000000000048</c:v>
                </c:pt>
                <c:pt idx="8">
                  <c:v>2.3191999999999982</c:v>
                </c:pt>
                <c:pt idx="9">
                  <c:v>1.6176000000000024</c:v>
                </c:pt>
                <c:pt idx="10">
                  <c:v>1.2499999999999987</c:v>
                </c:pt>
                <c:pt idx="11">
                  <c:v>0.39199999999999963</c:v>
                </c:pt>
                <c:pt idx="12">
                  <c:v>9.0399999999999953E-2</c:v>
                </c:pt>
                <c:pt idx="13">
                  <c:v>0.13600000000000048</c:v>
                </c:pt>
                <c:pt idx="14">
                  <c:v>6.8799999999999931E-2</c:v>
                </c:pt>
                <c:pt idx="15">
                  <c:v>1.399999999999999E-2</c:v>
                </c:pt>
                <c:pt idx="16">
                  <c:v>4.7999999999999952E-2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0F-484B-B616-7963C120D03A}"/>
            </c:ext>
          </c:extLst>
        </c:ser>
        <c:ser>
          <c:idx val="1"/>
          <c:order val="1"/>
          <c:tx>
            <c:v>23 Frames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Sheet1!$B$3:$B$32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Sheet1!$I$3:$I$32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9.7116000000000113</c:v>
                </c:pt>
                <c:pt idx="3">
                  <c:v>8.2387999999999959</c:v>
                </c:pt>
                <c:pt idx="4">
                  <c:v>6.7159999999999913</c:v>
                </c:pt>
                <c:pt idx="5">
                  <c:v>5.2287999999999952</c:v>
                </c:pt>
                <c:pt idx="6">
                  <c:v>3.8151999999999973</c:v>
                </c:pt>
                <c:pt idx="7">
                  <c:v>2.5408000000000031</c:v>
                </c:pt>
                <c:pt idx="8">
                  <c:v>1.6483999999999983</c:v>
                </c:pt>
                <c:pt idx="9">
                  <c:v>1.0024000000000015</c:v>
                </c:pt>
                <c:pt idx="10">
                  <c:v>0.59439999999999937</c:v>
                </c:pt>
                <c:pt idx="11">
                  <c:v>0.26839999999999981</c:v>
                </c:pt>
                <c:pt idx="12">
                  <c:v>0.14959999999999987</c:v>
                </c:pt>
                <c:pt idx="13">
                  <c:v>5.3600000000000189E-2</c:v>
                </c:pt>
                <c:pt idx="14">
                  <c:v>1.5199999999999988E-2</c:v>
                </c:pt>
                <c:pt idx="15">
                  <c:v>1.3599999999999989E-2</c:v>
                </c:pt>
                <c:pt idx="16">
                  <c:v>3.1999999999999976E-3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0F-484B-B616-7963C120D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238124</xdr:colOff>
      <xdr:row>1</xdr:row>
      <xdr:rowOff>52386</xdr:rowOff>
    </xdr:from>
    <xdr:to>
      <xdr:col>24</xdr:col>
      <xdr:colOff>552449</xdr:colOff>
      <xdr:row>31</xdr:row>
      <xdr:rowOff>12381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84364</xdr:colOff>
      <xdr:row>1</xdr:row>
      <xdr:rowOff>89807</xdr:rowOff>
    </xdr:from>
    <xdr:to>
      <xdr:col>40</xdr:col>
      <xdr:colOff>398689</xdr:colOff>
      <xdr:row>31</xdr:row>
      <xdr:rowOff>49802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6672-B77F-4252-968D-40BFFFF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I32"/>
  <sheetViews>
    <sheetView tabSelected="1" zoomScaleNormal="100" workbookViewId="0">
      <selection sqref="A1:D1"/>
    </sheetView>
  </sheetViews>
  <sheetFormatPr defaultRowHeight="15" x14ac:dyDescent="0.25"/>
  <cols>
    <col min="3" max="3" width="14.85546875" bestFit="1" customWidth="1"/>
    <col min="8" max="8" width="14.85546875" bestFit="1" customWidth="1"/>
  </cols>
  <sheetData>
    <row r="1" spans="1:9" x14ac:dyDescent="0.25">
      <c r="A1" s="1" t="s">
        <v>4</v>
      </c>
      <c r="B1" s="1"/>
      <c r="C1" s="1"/>
      <c r="D1" s="1"/>
      <c r="F1" s="1" t="s">
        <v>5</v>
      </c>
      <c r="G1" s="1"/>
      <c r="H1" s="1"/>
      <c r="I1" s="1"/>
    </row>
    <row r="2" spans="1:9" x14ac:dyDescent="0.25">
      <c r="A2" t="s">
        <v>3</v>
      </c>
      <c r="B2" t="s">
        <v>2</v>
      </c>
      <c r="C2" t="s">
        <v>0</v>
      </c>
      <c r="D2" t="s">
        <v>1</v>
      </c>
      <c r="F2" t="s">
        <v>3</v>
      </c>
      <c r="G2" t="s">
        <v>2</v>
      </c>
      <c r="H2" t="s">
        <v>0</v>
      </c>
      <c r="I2" t="s">
        <v>1</v>
      </c>
    </row>
    <row r="3" spans="1:9" x14ac:dyDescent="0.25">
      <c r="A3">
        <v>0</v>
      </c>
      <c r="B3">
        <f>A3/10</f>
        <v>0</v>
      </c>
      <c r="C3">
        <v>1</v>
      </c>
      <c r="D3">
        <v>0</v>
      </c>
      <c r="F3">
        <v>0</v>
      </c>
      <c r="G3">
        <f>F3/10</f>
        <v>0</v>
      </c>
      <c r="H3">
        <v>1</v>
      </c>
      <c r="I3">
        <v>0</v>
      </c>
    </row>
    <row r="4" spans="1:9" x14ac:dyDescent="0.25">
      <c r="A4">
        <v>3.15</v>
      </c>
      <c r="B4">
        <f t="shared" ref="B4:B32" si="0">A4/10</f>
        <v>0.315</v>
      </c>
      <c r="C4">
        <v>1</v>
      </c>
      <c r="D4">
        <f>(C3-C4)/(B4-B3)</f>
        <v>0</v>
      </c>
      <c r="F4">
        <v>3.15</v>
      </c>
      <c r="G4">
        <f t="shared" ref="G4:G32" si="1">F4/10</f>
        <v>0.315</v>
      </c>
      <c r="H4">
        <v>1</v>
      </c>
      <c r="I4">
        <f>(H3-H4)/(G4-G3)</f>
        <v>0</v>
      </c>
    </row>
    <row r="5" spans="1:9" x14ac:dyDescent="0.25">
      <c r="A5">
        <v>3.4</v>
      </c>
      <c r="B5">
        <f t="shared" si="0"/>
        <v>0.33999999999999997</v>
      </c>
      <c r="C5">
        <v>0.79901999999999995</v>
      </c>
      <c r="D5">
        <f t="shared" ref="D5:D32" si="2">(C4-C5)/(B5-B4)</f>
        <v>8.0392000000000134</v>
      </c>
      <c r="F5">
        <v>3.4</v>
      </c>
      <c r="G5">
        <f t="shared" si="1"/>
        <v>0.33999999999999997</v>
      </c>
      <c r="H5">
        <v>0.75721000000000005</v>
      </c>
      <c r="I5">
        <f t="shared" ref="I5:I32" si="3">(H4-H5)/(G5-G4)</f>
        <v>9.7116000000000113</v>
      </c>
    </row>
    <row r="6" spans="1:9" x14ac:dyDescent="0.25">
      <c r="A6">
        <v>3.65</v>
      </c>
      <c r="B6">
        <f t="shared" si="0"/>
        <v>0.36499999999999999</v>
      </c>
      <c r="C6">
        <v>0.60267000000000004</v>
      </c>
      <c r="D6">
        <f t="shared" si="2"/>
        <v>7.8539999999999894</v>
      </c>
      <c r="F6">
        <v>3.65</v>
      </c>
      <c r="G6">
        <f t="shared" si="1"/>
        <v>0.36499999999999999</v>
      </c>
      <c r="H6">
        <v>0.55123999999999995</v>
      </c>
      <c r="I6">
        <f t="shared" si="3"/>
        <v>8.2387999999999959</v>
      </c>
    </row>
    <row r="7" spans="1:9" x14ac:dyDescent="0.25">
      <c r="A7">
        <v>3.9</v>
      </c>
      <c r="B7">
        <f t="shared" si="0"/>
        <v>0.39</v>
      </c>
      <c r="C7">
        <v>0.43933</v>
      </c>
      <c r="D7">
        <f t="shared" si="2"/>
        <v>6.5335999999999954</v>
      </c>
      <c r="F7">
        <v>3.9</v>
      </c>
      <c r="G7">
        <f t="shared" si="1"/>
        <v>0.39</v>
      </c>
      <c r="H7">
        <v>0.38334000000000001</v>
      </c>
      <c r="I7">
        <f t="shared" si="3"/>
        <v>6.7159999999999913</v>
      </c>
    </row>
    <row r="8" spans="1:9" x14ac:dyDescent="0.25">
      <c r="A8">
        <v>4.1500000000000004</v>
      </c>
      <c r="B8">
        <f t="shared" si="0"/>
        <v>0.41500000000000004</v>
      </c>
      <c r="C8">
        <v>0.31790000000000002</v>
      </c>
      <c r="D8">
        <f t="shared" si="2"/>
        <v>4.8571999999999953</v>
      </c>
      <c r="F8">
        <v>4.1500000000000004</v>
      </c>
      <c r="G8">
        <f t="shared" si="1"/>
        <v>0.41500000000000004</v>
      </c>
      <c r="H8">
        <v>0.25262000000000001</v>
      </c>
      <c r="I8">
        <f t="shared" si="3"/>
        <v>5.2287999999999952</v>
      </c>
    </row>
    <row r="9" spans="1:9" x14ac:dyDescent="0.25">
      <c r="A9">
        <v>4.4000000000000004</v>
      </c>
      <c r="B9">
        <f t="shared" si="0"/>
        <v>0.44000000000000006</v>
      </c>
      <c r="C9">
        <v>0.23128000000000001</v>
      </c>
      <c r="D9">
        <f t="shared" si="2"/>
        <v>3.4647999999999972</v>
      </c>
      <c r="F9">
        <v>4.4000000000000004</v>
      </c>
      <c r="G9">
        <f t="shared" si="1"/>
        <v>0.44000000000000006</v>
      </c>
      <c r="H9">
        <v>0.15723999999999999</v>
      </c>
      <c r="I9">
        <f t="shared" si="3"/>
        <v>3.8151999999999973</v>
      </c>
    </row>
    <row r="10" spans="1:9" x14ac:dyDescent="0.25">
      <c r="A10">
        <v>4.6500000000000004</v>
      </c>
      <c r="B10">
        <f t="shared" si="0"/>
        <v>0.46500000000000002</v>
      </c>
      <c r="C10">
        <v>0.1484</v>
      </c>
      <c r="D10">
        <f t="shared" si="2"/>
        <v>3.3152000000000048</v>
      </c>
      <c r="F10">
        <v>4.6500000000000004</v>
      </c>
      <c r="G10">
        <f t="shared" si="1"/>
        <v>0.46500000000000002</v>
      </c>
      <c r="H10">
        <v>9.3719999999999998E-2</v>
      </c>
      <c r="I10">
        <f t="shared" si="3"/>
        <v>2.5408000000000031</v>
      </c>
    </row>
    <row r="11" spans="1:9" x14ac:dyDescent="0.25">
      <c r="A11">
        <v>4.9000000000000004</v>
      </c>
      <c r="B11">
        <f t="shared" si="0"/>
        <v>0.49000000000000005</v>
      </c>
      <c r="C11">
        <v>9.042E-2</v>
      </c>
      <c r="D11">
        <f t="shared" si="2"/>
        <v>2.3191999999999982</v>
      </c>
      <c r="F11">
        <v>4.9000000000000004</v>
      </c>
      <c r="G11">
        <f t="shared" si="1"/>
        <v>0.49000000000000005</v>
      </c>
      <c r="H11">
        <v>5.2510000000000001E-2</v>
      </c>
      <c r="I11">
        <f t="shared" si="3"/>
        <v>1.6483999999999983</v>
      </c>
    </row>
    <row r="12" spans="1:9" x14ac:dyDescent="0.25">
      <c r="A12">
        <v>5.15</v>
      </c>
      <c r="B12">
        <f t="shared" si="0"/>
        <v>0.51500000000000001</v>
      </c>
      <c r="C12">
        <v>4.9979999999999997E-2</v>
      </c>
      <c r="D12">
        <f t="shared" si="2"/>
        <v>1.6176000000000024</v>
      </c>
      <c r="F12">
        <v>5.15</v>
      </c>
      <c r="G12">
        <f t="shared" si="1"/>
        <v>0.51500000000000001</v>
      </c>
      <c r="H12">
        <v>2.7449999999999999E-2</v>
      </c>
      <c r="I12">
        <f t="shared" si="3"/>
        <v>1.0024000000000015</v>
      </c>
    </row>
    <row r="13" spans="1:9" x14ac:dyDescent="0.25">
      <c r="A13">
        <v>5.4</v>
      </c>
      <c r="B13">
        <f t="shared" si="0"/>
        <v>0.54</v>
      </c>
      <c r="C13">
        <v>1.873E-2</v>
      </c>
      <c r="D13">
        <f t="shared" si="2"/>
        <v>1.2499999999999987</v>
      </c>
      <c r="F13">
        <v>5.4</v>
      </c>
      <c r="G13">
        <f t="shared" si="1"/>
        <v>0.54</v>
      </c>
      <c r="H13">
        <v>1.259E-2</v>
      </c>
      <c r="I13">
        <f t="shared" si="3"/>
        <v>0.59439999999999937</v>
      </c>
    </row>
    <row r="14" spans="1:9" x14ac:dyDescent="0.25">
      <c r="A14">
        <v>5.65</v>
      </c>
      <c r="B14">
        <f t="shared" si="0"/>
        <v>0.56500000000000006</v>
      </c>
      <c r="C14">
        <v>8.9300000000000004E-3</v>
      </c>
      <c r="D14">
        <f t="shared" si="2"/>
        <v>0.39199999999999963</v>
      </c>
      <c r="F14">
        <v>5.65</v>
      </c>
      <c r="G14">
        <f t="shared" si="1"/>
        <v>0.56500000000000006</v>
      </c>
      <c r="H14">
        <v>5.8799999999999998E-3</v>
      </c>
      <c r="I14">
        <f t="shared" si="3"/>
        <v>0.26839999999999981</v>
      </c>
    </row>
    <row r="15" spans="1:9" x14ac:dyDescent="0.25">
      <c r="A15">
        <v>5.9</v>
      </c>
      <c r="B15">
        <f t="shared" si="0"/>
        <v>0.59000000000000008</v>
      </c>
      <c r="C15">
        <v>6.6699999999999997E-3</v>
      </c>
      <c r="D15">
        <f t="shared" si="2"/>
        <v>9.0399999999999953E-2</v>
      </c>
      <c r="F15">
        <v>5.9</v>
      </c>
      <c r="G15">
        <f t="shared" si="1"/>
        <v>0.59000000000000008</v>
      </c>
      <c r="H15">
        <v>2.14E-3</v>
      </c>
      <c r="I15">
        <f t="shared" si="3"/>
        <v>0.14959999999999987</v>
      </c>
    </row>
    <row r="16" spans="1:9" x14ac:dyDescent="0.25">
      <c r="A16">
        <v>6.15</v>
      </c>
      <c r="B16">
        <f t="shared" si="0"/>
        <v>0.61499999999999999</v>
      </c>
      <c r="C16">
        <v>3.2699999999999999E-3</v>
      </c>
      <c r="D16">
        <f t="shared" si="2"/>
        <v>0.13600000000000048</v>
      </c>
      <c r="F16">
        <v>6.15</v>
      </c>
      <c r="G16">
        <f t="shared" si="1"/>
        <v>0.61499999999999999</v>
      </c>
      <c r="H16">
        <v>8.0000000000000004E-4</v>
      </c>
      <c r="I16">
        <f t="shared" si="3"/>
        <v>5.3600000000000189E-2</v>
      </c>
    </row>
    <row r="17" spans="1:9" x14ac:dyDescent="0.25">
      <c r="A17">
        <v>6.4</v>
      </c>
      <c r="B17">
        <f t="shared" si="0"/>
        <v>0.64</v>
      </c>
      <c r="C17">
        <v>1.5499999999999999E-3</v>
      </c>
      <c r="D17">
        <f t="shared" si="2"/>
        <v>6.8799999999999931E-2</v>
      </c>
      <c r="F17">
        <v>6.4</v>
      </c>
      <c r="G17">
        <f t="shared" si="1"/>
        <v>0.64</v>
      </c>
      <c r="H17">
        <v>4.2000000000000002E-4</v>
      </c>
      <c r="I17">
        <f t="shared" si="3"/>
        <v>1.5199999999999988E-2</v>
      </c>
    </row>
    <row r="18" spans="1:9" x14ac:dyDescent="0.25">
      <c r="A18">
        <v>6.65</v>
      </c>
      <c r="B18">
        <f t="shared" si="0"/>
        <v>0.66500000000000004</v>
      </c>
      <c r="C18">
        <v>1.1999999999999999E-3</v>
      </c>
      <c r="D18">
        <f t="shared" si="2"/>
        <v>1.399999999999999E-2</v>
      </c>
      <c r="F18">
        <v>6.65</v>
      </c>
      <c r="G18">
        <f t="shared" si="1"/>
        <v>0.66500000000000004</v>
      </c>
      <c r="H18">
        <v>8.0000000000000007E-5</v>
      </c>
      <c r="I18">
        <f t="shared" si="3"/>
        <v>1.3599999999999989E-2</v>
      </c>
    </row>
    <row r="19" spans="1:9" x14ac:dyDescent="0.25">
      <c r="A19">
        <v>6.9</v>
      </c>
      <c r="B19">
        <f t="shared" si="0"/>
        <v>0.69000000000000006</v>
      </c>
      <c r="C19">
        <v>0</v>
      </c>
      <c r="D19">
        <f t="shared" si="2"/>
        <v>4.7999999999999952E-2</v>
      </c>
      <c r="F19">
        <v>6.9</v>
      </c>
      <c r="G19">
        <f t="shared" si="1"/>
        <v>0.69000000000000006</v>
      </c>
      <c r="H19">
        <v>0</v>
      </c>
      <c r="I19">
        <f t="shared" si="3"/>
        <v>3.1999999999999976E-3</v>
      </c>
    </row>
    <row r="20" spans="1:9" x14ac:dyDescent="0.25">
      <c r="A20">
        <v>7.15</v>
      </c>
      <c r="B20">
        <f t="shared" si="0"/>
        <v>0.71500000000000008</v>
      </c>
      <c r="C20">
        <v>0</v>
      </c>
      <c r="D20">
        <f t="shared" si="2"/>
        <v>0</v>
      </c>
      <c r="F20">
        <v>7.15</v>
      </c>
      <c r="G20">
        <f t="shared" si="1"/>
        <v>0.71500000000000008</v>
      </c>
      <c r="H20">
        <v>0</v>
      </c>
      <c r="I20">
        <f t="shared" si="3"/>
        <v>0</v>
      </c>
    </row>
    <row r="21" spans="1:9" x14ac:dyDescent="0.25">
      <c r="A21">
        <v>7.4</v>
      </c>
      <c r="B21">
        <f t="shared" si="0"/>
        <v>0.74</v>
      </c>
      <c r="C21">
        <v>0</v>
      </c>
      <c r="D21">
        <f t="shared" si="2"/>
        <v>0</v>
      </c>
      <c r="F21">
        <v>7.4</v>
      </c>
      <c r="G21">
        <f t="shared" si="1"/>
        <v>0.74</v>
      </c>
      <c r="H21">
        <v>0</v>
      </c>
      <c r="I21">
        <f t="shared" si="3"/>
        <v>0</v>
      </c>
    </row>
    <row r="22" spans="1:9" x14ac:dyDescent="0.25">
      <c r="A22">
        <v>7.65</v>
      </c>
      <c r="B22">
        <f t="shared" si="0"/>
        <v>0.76500000000000001</v>
      </c>
      <c r="C22">
        <v>0</v>
      </c>
      <c r="D22">
        <f t="shared" si="2"/>
        <v>0</v>
      </c>
      <c r="F22">
        <v>7.65</v>
      </c>
      <c r="G22">
        <f t="shared" si="1"/>
        <v>0.76500000000000001</v>
      </c>
      <c r="H22">
        <v>0</v>
      </c>
      <c r="I22">
        <f t="shared" si="3"/>
        <v>0</v>
      </c>
    </row>
    <row r="23" spans="1:9" x14ac:dyDescent="0.25">
      <c r="A23">
        <v>7.9</v>
      </c>
      <c r="B23">
        <f t="shared" si="0"/>
        <v>0.79</v>
      </c>
      <c r="C23">
        <v>0</v>
      </c>
      <c r="D23">
        <f t="shared" si="2"/>
        <v>0</v>
      </c>
      <c r="F23">
        <v>7.9</v>
      </c>
      <c r="G23">
        <f t="shared" si="1"/>
        <v>0.79</v>
      </c>
      <c r="H23">
        <v>0</v>
      </c>
      <c r="I23">
        <f t="shared" si="3"/>
        <v>0</v>
      </c>
    </row>
    <row r="24" spans="1:9" x14ac:dyDescent="0.25">
      <c r="A24">
        <v>8.15</v>
      </c>
      <c r="B24">
        <f t="shared" si="0"/>
        <v>0.81500000000000006</v>
      </c>
      <c r="C24">
        <v>0</v>
      </c>
      <c r="D24">
        <f t="shared" si="2"/>
        <v>0</v>
      </c>
      <c r="F24">
        <v>8.15</v>
      </c>
      <c r="G24">
        <f t="shared" si="1"/>
        <v>0.81500000000000006</v>
      </c>
      <c r="H24">
        <v>0</v>
      </c>
      <c r="I24">
        <f t="shared" si="3"/>
        <v>0</v>
      </c>
    </row>
    <row r="25" spans="1:9" x14ac:dyDescent="0.25">
      <c r="A25">
        <v>8.4</v>
      </c>
      <c r="B25">
        <f t="shared" si="0"/>
        <v>0.84000000000000008</v>
      </c>
      <c r="C25">
        <v>0</v>
      </c>
      <c r="D25">
        <f t="shared" si="2"/>
        <v>0</v>
      </c>
      <c r="F25">
        <v>8.4</v>
      </c>
      <c r="G25">
        <f t="shared" si="1"/>
        <v>0.84000000000000008</v>
      </c>
      <c r="H25">
        <v>0</v>
      </c>
      <c r="I25">
        <f t="shared" si="3"/>
        <v>0</v>
      </c>
    </row>
    <row r="26" spans="1:9" x14ac:dyDescent="0.25">
      <c r="A26">
        <v>8.65</v>
      </c>
      <c r="B26">
        <f t="shared" si="0"/>
        <v>0.86499999999999999</v>
      </c>
      <c r="C26">
        <v>0</v>
      </c>
      <c r="D26">
        <f t="shared" si="2"/>
        <v>0</v>
      </c>
      <c r="F26">
        <v>8.65</v>
      </c>
      <c r="G26">
        <f t="shared" si="1"/>
        <v>0.86499999999999999</v>
      </c>
      <c r="H26">
        <v>0</v>
      </c>
      <c r="I26">
        <f t="shared" si="3"/>
        <v>0</v>
      </c>
    </row>
    <row r="27" spans="1:9" x14ac:dyDescent="0.25">
      <c r="A27">
        <v>8.9</v>
      </c>
      <c r="B27">
        <f t="shared" si="0"/>
        <v>0.89</v>
      </c>
      <c r="C27">
        <v>0</v>
      </c>
      <c r="D27">
        <f t="shared" si="2"/>
        <v>0</v>
      </c>
      <c r="F27">
        <v>8.9</v>
      </c>
      <c r="G27">
        <f t="shared" si="1"/>
        <v>0.89</v>
      </c>
      <c r="H27">
        <v>0</v>
      </c>
      <c r="I27">
        <f t="shared" si="3"/>
        <v>0</v>
      </c>
    </row>
    <row r="28" spans="1:9" x14ac:dyDescent="0.25">
      <c r="A28">
        <v>9.15</v>
      </c>
      <c r="B28">
        <f t="shared" si="0"/>
        <v>0.91500000000000004</v>
      </c>
      <c r="C28">
        <v>0</v>
      </c>
      <c r="D28">
        <f t="shared" si="2"/>
        <v>0</v>
      </c>
      <c r="F28">
        <v>9.15</v>
      </c>
      <c r="G28">
        <f t="shared" si="1"/>
        <v>0.91500000000000004</v>
      </c>
      <c r="H28">
        <v>0</v>
      </c>
      <c r="I28">
        <f t="shared" si="3"/>
        <v>0</v>
      </c>
    </row>
    <row r="29" spans="1:9" x14ac:dyDescent="0.25">
      <c r="A29">
        <v>9.4</v>
      </c>
      <c r="B29">
        <f t="shared" si="0"/>
        <v>0.94000000000000006</v>
      </c>
      <c r="C29">
        <v>0</v>
      </c>
      <c r="D29">
        <f t="shared" si="2"/>
        <v>0</v>
      </c>
      <c r="F29">
        <v>9.4</v>
      </c>
      <c r="G29">
        <f t="shared" si="1"/>
        <v>0.94000000000000006</v>
      </c>
      <c r="H29">
        <v>0</v>
      </c>
      <c r="I29">
        <f t="shared" si="3"/>
        <v>0</v>
      </c>
    </row>
    <row r="30" spans="1:9" x14ac:dyDescent="0.25">
      <c r="A30">
        <v>9.65</v>
      </c>
      <c r="B30">
        <f t="shared" si="0"/>
        <v>0.96500000000000008</v>
      </c>
      <c r="C30">
        <v>0</v>
      </c>
      <c r="D30">
        <f t="shared" si="2"/>
        <v>0</v>
      </c>
      <c r="F30">
        <v>9.65</v>
      </c>
      <c r="G30">
        <f t="shared" si="1"/>
        <v>0.96500000000000008</v>
      </c>
      <c r="H30">
        <v>0</v>
      </c>
      <c r="I30">
        <f t="shared" si="3"/>
        <v>0</v>
      </c>
    </row>
    <row r="31" spans="1:9" x14ac:dyDescent="0.25">
      <c r="A31">
        <v>9.9</v>
      </c>
      <c r="B31">
        <f t="shared" si="0"/>
        <v>0.99</v>
      </c>
      <c r="C31">
        <v>0</v>
      </c>
      <c r="D31">
        <f t="shared" si="2"/>
        <v>0</v>
      </c>
      <c r="F31">
        <v>9.9</v>
      </c>
      <c r="G31">
        <f t="shared" si="1"/>
        <v>0.99</v>
      </c>
      <c r="H31">
        <v>0</v>
      </c>
      <c r="I31">
        <f t="shared" si="3"/>
        <v>0</v>
      </c>
    </row>
    <row r="32" spans="1:9" x14ac:dyDescent="0.25">
      <c r="A32">
        <v>10.15</v>
      </c>
      <c r="B32">
        <f t="shared" si="0"/>
        <v>1.0150000000000001</v>
      </c>
      <c r="C32">
        <v>0</v>
      </c>
      <c r="D32">
        <f t="shared" si="2"/>
        <v>0</v>
      </c>
      <c r="F32">
        <v>10.15</v>
      </c>
      <c r="G32">
        <f t="shared" si="1"/>
        <v>1.0150000000000001</v>
      </c>
      <c r="H32">
        <v>0</v>
      </c>
      <c r="I32">
        <f t="shared" si="3"/>
        <v>0</v>
      </c>
    </row>
  </sheetData>
  <mergeCells count="2">
    <mergeCell ref="A1:D1"/>
    <mergeCell ref="F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2026-07-22T21:16:34Z</dcterms:modified>
</cp:coreProperties>
</file>