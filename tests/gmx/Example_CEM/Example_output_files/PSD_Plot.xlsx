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rO-VAT/tests/gmx/Example_CEM/Example_output_files/"/>
    </mc:Choice>
  </mc:AlternateContent>
  <xr:revisionPtr revIDLastSave="399" documentId="8_{7149973D-7FBA-47E4-9186-8284705DD2B8}" xr6:coauthVersionLast="47" xr6:coauthVersionMax="47" xr10:uidLastSave="{8DC63CCB-C6C6-4233-8AE8-1FD8D1334734}"/>
  <bookViews>
    <workbookView xWindow="-120" yWindow="-120" windowWidth="29040" windowHeight="15720" xr2:uid="{D12CB501-9D5F-4141-A117-3B2D7216ADD7}"/>
  </bookViews>
  <sheets>
    <sheet name="GRO-GRO" sheetId="1" r:id="rId1"/>
    <sheet name="XTC-TPR" sheetId="2" r:id="rId2"/>
    <sheet name="Matrix-Comparison" sheetId="3" r:id="rId3"/>
    <sheet name="Voxel-Size-Comparis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P4" i="1"/>
  <c r="P3" i="1"/>
  <c r="P2" i="1"/>
  <c r="G76" i="1"/>
  <c r="I76" i="1" s="1"/>
  <c r="G75" i="1"/>
  <c r="I75" i="1" s="1"/>
  <c r="G74" i="1"/>
  <c r="G73" i="1"/>
  <c r="I74" i="1" s="1"/>
  <c r="G72" i="1"/>
  <c r="I72" i="1" s="1"/>
  <c r="G71" i="1"/>
  <c r="I71" i="1" s="1"/>
  <c r="G70" i="1"/>
  <c r="G69" i="1"/>
  <c r="I70" i="1" s="1"/>
  <c r="G68" i="1"/>
  <c r="I68" i="1" s="1"/>
  <c r="G67" i="1"/>
  <c r="I67" i="1" s="1"/>
  <c r="G66" i="1"/>
  <c r="G65" i="1"/>
  <c r="I66" i="1" s="1"/>
  <c r="G64" i="1"/>
  <c r="I64" i="1" s="1"/>
  <c r="G63" i="1"/>
  <c r="I63" i="1" s="1"/>
  <c r="G62" i="1"/>
  <c r="G61" i="1"/>
  <c r="I62" i="1" s="1"/>
  <c r="G60" i="1"/>
  <c r="I60" i="1" s="1"/>
  <c r="G59" i="1"/>
  <c r="I59" i="1" s="1"/>
  <c r="G58" i="1"/>
  <c r="G57" i="1"/>
  <c r="I58" i="1" s="1"/>
  <c r="G56" i="1"/>
  <c r="I56" i="1" s="1"/>
  <c r="G55" i="1"/>
  <c r="I55" i="1" s="1"/>
  <c r="G54" i="1"/>
  <c r="G53" i="1"/>
  <c r="I54" i="1" s="1"/>
  <c r="G52" i="1"/>
  <c r="I52" i="1" s="1"/>
  <c r="G51" i="1"/>
  <c r="I51" i="1" s="1"/>
  <c r="G50" i="1"/>
  <c r="G49" i="1"/>
  <c r="I50" i="1" s="1"/>
  <c r="G48" i="1"/>
  <c r="I48" i="1" s="1"/>
  <c r="G47" i="1"/>
  <c r="I47" i="1" s="1"/>
  <c r="G46" i="1"/>
  <c r="G45" i="1"/>
  <c r="I46" i="1" s="1"/>
  <c r="G44" i="1"/>
  <c r="I44" i="1" s="1"/>
  <c r="G43" i="1"/>
  <c r="I43" i="1" s="1"/>
  <c r="G42" i="1"/>
  <c r="G41" i="1"/>
  <c r="I42" i="1" s="1"/>
  <c r="G40" i="1"/>
  <c r="I40" i="1" s="1"/>
  <c r="G39" i="1"/>
  <c r="I39" i="1" s="1"/>
  <c r="G38" i="1"/>
  <c r="G37" i="1"/>
  <c r="I38" i="1" s="1"/>
  <c r="G36" i="1"/>
  <c r="I36" i="1" s="1"/>
  <c r="G35" i="1"/>
  <c r="I35" i="1" s="1"/>
  <c r="G34" i="1"/>
  <c r="G33" i="1"/>
  <c r="I34" i="1" s="1"/>
  <c r="G32" i="1"/>
  <c r="I32" i="1" s="1"/>
  <c r="G31" i="1"/>
  <c r="I31" i="1" s="1"/>
  <c r="G30" i="1"/>
  <c r="G29" i="1"/>
  <c r="I30" i="1" s="1"/>
  <c r="G28" i="1"/>
  <c r="I28" i="1" s="1"/>
  <c r="G27" i="1"/>
  <c r="I27" i="1" s="1"/>
  <c r="G26" i="1"/>
  <c r="G25" i="1"/>
  <c r="I26" i="1" s="1"/>
  <c r="G24" i="1"/>
  <c r="I24" i="1" s="1"/>
  <c r="G23" i="1"/>
  <c r="I23" i="1" s="1"/>
  <c r="G22" i="1"/>
  <c r="G21" i="1"/>
  <c r="I22" i="1" s="1"/>
  <c r="G20" i="1"/>
  <c r="I20" i="1" s="1"/>
  <c r="G19" i="1"/>
  <c r="I19" i="1" s="1"/>
  <c r="G18" i="1"/>
  <c r="G17" i="1"/>
  <c r="I18" i="1" s="1"/>
  <c r="G16" i="1"/>
  <c r="I16" i="1" s="1"/>
  <c r="G15" i="1"/>
  <c r="I15" i="1" s="1"/>
  <c r="G14" i="1"/>
  <c r="G13" i="1"/>
  <c r="I14" i="1" s="1"/>
  <c r="G12" i="1"/>
  <c r="I12" i="1" s="1"/>
  <c r="G11" i="1"/>
  <c r="I11" i="1" s="1"/>
  <c r="G10" i="1"/>
  <c r="G9" i="1"/>
  <c r="I10" i="1" s="1"/>
  <c r="G8" i="1"/>
  <c r="I8" i="1" s="1"/>
  <c r="G7" i="1"/>
  <c r="I7" i="1" s="1"/>
  <c r="G6" i="1"/>
  <c r="G5" i="1"/>
  <c r="I6" i="1" s="1"/>
  <c r="G4" i="1"/>
  <c r="I4" i="1" s="1"/>
  <c r="G3" i="1"/>
  <c r="S89" i="5"/>
  <c r="Q89" i="5"/>
  <c r="F2" i="2"/>
  <c r="G78" i="5"/>
  <c r="I78" i="5" s="1"/>
  <c r="Q78" i="5"/>
  <c r="S78" i="5"/>
  <c r="G79" i="5"/>
  <c r="I80" i="5" s="1"/>
  <c r="I79" i="5"/>
  <c r="Q79" i="5"/>
  <c r="S79" i="5"/>
  <c r="G80" i="5"/>
  <c r="Q80" i="5"/>
  <c r="S80" i="5"/>
  <c r="G81" i="5"/>
  <c r="I82" i="5" s="1"/>
  <c r="I81" i="5"/>
  <c r="Q81" i="5"/>
  <c r="S81" i="5"/>
  <c r="G82" i="5"/>
  <c r="Q82" i="5"/>
  <c r="S82" i="5"/>
  <c r="G83" i="5"/>
  <c r="I84" i="5" s="1"/>
  <c r="I83" i="5"/>
  <c r="Q83" i="5"/>
  <c r="S83" i="5"/>
  <c r="G84" i="5"/>
  <c r="Q84" i="5"/>
  <c r="S84" i="5"/>
  <c r="G85" i="5"/>
  <c r="I86" i="5" s="1"/>
  <c r="I85" i="5"/>
  <c r="Q85" i="5"/>
  <c r="S85" i="5"/>
  <c r="G86" i="5"/>
  <c r="Q86" i="5"/>
  <c r="S86" i="5"/>
  <c r="G87" i="5"/>
  <c r="I88" i="5" s="1"/>
  <c r="I87" i="5"/>
  <c r="Q87" i="5"/>
  <c r="S87" i="5"/>
  <c r="G88" i="5"/>
  <c r="Q88" i="5"/>
  <c r="S88" i="5"/>
  <c r="B77" i="5"/>
  <c r="D77" i="5" s="1"/>
  <c r="B76" i="5"/>
  <c r="D76" i="5" s="1"/>
  <c r="B75" i="5"/>
  <c r="D75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8" i="5"/>
  <c r="D68" i="5" s="1"/>
  <c r="B67" i="5"/>
  <c r="D67" i="5" s="1"/>
  <c r="B66" i="5"/>
  <c r="D66" i="5" s="1"/>
  <c r="B65" i="5"/>
  <c r="D65" i="5" s="1"/>
  <c r="B64" i="5"/>
  <c r="D64" i="5" s="1"/>
  <c r="B63" i="5"/>
  <c r="D63" i="5" s="1"/>
  <c r="B62" i="5"/>
  <c r="D62" i="5" s="1"/>
  <c r="B61" i="5"/>
  <c r="D61" i="5" s="1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4" i="5"/>
  <c r="D54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7" i="5"/>
  <c r="D47" i="5" s="1"/>
  <c r="B46" i="5"/>
  <c r="D46" i="5" s="1"/>
  <c r="B45" i="5"/>
  <c r="D45" i="5" s="1"/>
  <c r="B44" i="5"/>
  <c r="D44" i="5" s="1"/>
  <c r="B43" i="5"/>
  <c r="D43" i="5" s="1"/>
  <c r="B42" i="5"/>
  <c r="D42" i="5" s="1"/>
  <c r="B41" i="5"/>
  <c r="D41" i="5" s="1"/>
  <c r="B40" i="5"/>
  <c r="D40" i="5" s="1"/>
  <c r="B39" i="5"/>
  <c r="D39" i="5" s="1"/>
  <c r="B38" i="5"/>
  <c r="D38" i="5" s="1"/>
  <c r="B37" i="5"/>
  <c r="D37" i="5" s="1"/>
  <c r="B36" i="5"/>
  <c r="D36" i="5" s="1"/>
  <c r="B35" i="5"/>
  <c r="D35" i="5" s="1"/>
  <c r="B34" i="5"/>
  <c r="D34" i="5" s="1"/>
  <c r="B33" i="5"/>
  <c r="D33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6" i="5"/>
  <c r="D26" i="5" s="1"/>
  <c r="B25" i="5"/>
  <c r="D25" i="5" s="1"/>
  <c r="B24" i="5"/>
  <c r="D24" i="5" s="1"/>
  <c r="B23" i="5"/>
  <c r="D23" i="5" s="1"/>
  <c r="B22" i="5"/>
  <c r="D22" i="5" s="1"/>
  <c r="B21" i="5"/>
  <c r="D21" i="5" s="1"/>
  <c r="B20" i="5"/>
  <c r="D20" i="5" s="1"/>
  <c r="B19" i="5"/>
  <c r="D19" i="5" s="1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2" i="5"/>
  <c r="D12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B5" i="5"/>
  <c r="D5" i="5" s="1"/>
  <c r="B4" i="5"/>
  <c r="L4" i="5"/>
  <c r="L5" i="5"/>
  <c r="N5" i="5"/>
  <c r="L6" i="5"/>
  <c r="N6" i="5" s="1"/>
  <c r="L7" i="5"/>
  <c r="N7" i="5" s="1"/>
  <c r="L8" i="5"/>
  <c r="N8" i="5" s="1"/>
  <c r="L9" i="5"/>
  <c r="L10" i="5"/>
  <c r="N10" i="5" s="1"/>
  <c r="L11" i="5"/>
  <c r="N11" i="5" s="1"/>
  <c r="L12" i="5"/>
  <c r="N12" i="5" s="1"/>
  <c r="L13" i="5"/>
  <c r="L14" i="5"/>
  <c r="N14" i="5" s="1"/>
  <c r="L15" i="5"/>
  <c r="N15" i="5" s="1"/>
  <c r="L16" i="5"/>
  <c r="N16" i="5" s="1"/>
  <c r="L17" i="5"/>
  <c r="L18" i="5"/>
  <c r="N18" i="5" s="1"/>
  <c r="L19" i="5"/>
  <c r="N19" i="5" s="1"/>
  <c r="L20" i="5"/>
  <c r="N20" i="5" s="1"/>
  <c r="L21" i="5"/>
  <c r="L22" i="5"/>
  <c r="N22" i="5" s="1"/>
  <c r="L23" i="5"/>
  <c r="N23" i="5" s="1"/>
  <c r="L24" i="5"/>
  <c r="N24" i="5" s="1"/>
  <c r="L25" i="5"/>
  <c r="L26" i="5"/>
  <c r="N26" i="5" s="1"/>
  <c r="L27" i="5"/>
  <c r="N27" i="5" s="1"/>
  <c r="L28" i="5"/>
  <c r="N28" i="5" s="1"/>
  <c r="L29" i="5"/>
  <c r="L30" i="5"/>
  <c r="N30" i="5" s="1"/>
  <c r="L31" i="5"/>
  <c r="N31" i="5" s="1"/>
  <c r="L32" i="5"/>
  <c r="N32" i="5" s="1"/>
  <c r="L33" i="5"/>
  <c r="L34" i="5"/>
  <c r="N34" i="5" s="1"/>
  <c r="L35" i="5"/>
  <c r="N35" i="5" s="1"/>
  <c r="L36" i="5"/>
  <c r="N36" i="5" s="1"/>
  <c r="L37" i="5"/>
  <c r="L38" i="5"/>
  <c r="N38" i="5" s="1"/>
  <c r="L39" i="5"/>
  <c r="N39" i="5" s="1"/>
  <c r="L40" i="5"/>
  <c r="N40" i="5" s="1"/>
  <c r="L41" i="5"/>
  <c r="L42" i="5"/>
  <c r="N42" i="5" s="1"/>
  <c r="L43" i="5"/>
  <c r="N43" i="5" s="1"/>
  <c r="L44" i="5"/>
  <c r="N44" i="5" s="1"/>
  <c r="L45" i="5"/>
  <c r="L46" i="5"/>
  <c r="N46" i="5" s="1"/>
  <c r="L47" i="5"/>
  <c r="N47" i="5" s="1"/>
  <c r="L48" i="5"/>
  <c r="N48" i="5" s="1"/>
  <c r="L49" i="5"/>
  <c r="L50" i="5"/>
  <c r="N50" i="5" s="1"/>
  <c r="L51" i="5"/>
  <c r="N51" i="5" s="1"/>
  <c r="L52" i="5"/>
  <c r="N52" i="5" s="1"/>
  <c r="L53" i="5"/>
  <c r="L54" i="5"/>
  <c r="N54" i="5" s="1"/>
  <c r="L55" i="5"/>
  <c r="N55" i="5" s="1"/>
  <c r="L56" i="5"/>
  <c r="N56" i="5" s="1"/>
  <c r="L57" i="5"/>
  <c r="L58" i="5"/>
  <c r="N58" i="5" s="1"/>
  <c r="L59" i="5"/>
  <c r="N59" i="5" s="1"/>
  <c r="L60" i="5"/>
  <c r="N60" i="5" s="1"/>
  <c r="L61" i="5"/>
  <c r="L62" i="5"/>
  <c r="N62" i="5" s="1"/>
  <c r="L63" i="5"/>
  <c r="N63" i="5" s="1"/>
  <c r="L64" i="5"/>
  <c r="N64" i="5" s="1"/>
  <c r="L65" i="5"/>
  <c r="L66" i="5"/>
  <c r="N66" i="5" s="1"/>
  <c r="L67" i="5"/>
  <c r="N67" i="5" s="1"/>
  <c r="L68" i="5"/>
  <c r="N68" i="5" s="1"/>
  <c r="L69" i="5"/>
  <c r="L70" i="5"/>
  <c r="N70" i="5" s="1"/>
  <c r="L71" i="5"/>
  <c r="N71" i="5" s="1"/>
  <c r="L72" i="5"/>
  <c r="N72" i="5" s="1"/>
  <c r="L73" i="5"/>
  <c r="N73" i="5" s="1"/>
  <c r="L74" i="5"/>
  <c r="N74" i="5" s="1"/>
  <c r="L75" i="5"/>
  <c r="N75" i="5" s="1"/>
  <c r="L76" i="5"/>
  <c r="N76" i="5" s="1"/>
  <c r="L77" i="5"/>
  <c r="G4" i="5"/>
  <c r="G5" i="5"/>
  <c r="I5" i="5"/>
  <c r="G6" i="5"/>
  <c r="I6" i="5"/>
  <c r="G7" i="5"/>
  <c r="I7" i="5"/>
  <c r="G8" i="5"/>
  <c r="I8" i="5" s="1"/>
  <c r="G9" i="5"/>
  <c r="G10" i="5"/>
  <c r="I10" i="5"/>
  <c r="G11" i="5"/>
  <c r="I11" i="5"/>
  <c r="G12" i="5"/>
  <c r="I12" i="5" s="1"/>
  <c r="G13" i="5"/>
  <c r="G14" i="5"/>
  <c r="I14" i="5"/>
  <c r="G15" i="5"/>
  <c r="I15" i="5"/>
  <c r="G16" i="5"/>
  <c r="I16" i="5" s="1"/>
  <c r="G17" i="5"/>
  <c r="G18" i="5"/>
  <c r="I18" i="5"/>
  <c r="G19" i="5"/>
  <c r="I19" i="5"/>
  <c r="G20" i="5"/>
  <c r="I20" i="5" s="1"/>
  <c r="G21" i="5"/>
  <c r="G22" i="5"/>
  <c r="I22" i="5"/>
  <c r="G23" i="5"/>
  <c r="I23" i="5"/>
  <c r="G24" i="5"/>
  <c r="I24" i="5" s="1"/>
  <c r="G25" i="5"/>
  <c r="G26" i="5"/>
  <c r="I26" i="5"/>
  <c r="G27" i="5"/>
  <c r="I27" i="5"/>
  <c r="G28" i="5"/>
  <c r="I28" i="5" s="1"/>
  <c r="G29" i="5"/>
  <c r="G30" i="5"/>
  <c r="I30" i="5"/>
  <c r="G31" i="5"/>
  <c r="I31" i="5"/>
  <c r="G32" i="5"/>
  <c r="I32" i="5" s="1"/>
  <c r="G33" i="5"/>
  <c r="G34" i="5"/>
  <c r="I34" i="5"/>
  <c r="G35" i="5"/>
  <c r="I35" i="5"/>
  <c r="G36" i="5"/>
  <c r="I36" i="5" s="1"/>
  <c r="G37" i="5"/>
  <c r="G38" i="5"/>
  <c r="I38" i="5"/>
  <c r="G39" i="5"/>
  <c r="I39" i="5"/>
  <c r="G40" i="5"/>
  <c r="I40" i="5" s="1"/>
  <c r="G41" i="5"/>
  <c r="G42" i="5"/>
  <c r="I42" i="5"/>
  <c r="G43" i="5"/>
  <c r="I43" i="5"/>
  <c r="G44" i="5"/>
  <c r="I44" i="5" s="1"/>
  <c r="G45" i="5"/>
  <c r="G46" i="5"/>
  <c r="I46" i="5"/>
  <c r="G47" i="5"/>
  <c r="I47" i="5"/>
  <c r="G48" i="5"/>
  <c r="I48" i="5" s="1"/>
  <c r="G49" i="5"/>
  <c r="G50" i="5"/>
  <c r="I50" i="5"/>
  <c r="G51" i="5"/>
  <c r="I51" i="5"/>
  <c r="G52" i="5"/>
  <c r="I52" i="5" s="1"/>
  <c r="G53" i="5"/>
  <c r="G54" i="5"/>
  <c r="I54" i="5"/>
  <c r="G55" i="5"/>
  <c r="I55" i="5"/>
  <c r="G56" i="5"/>
  <c r="I56" i="5" s="1"/>
  <c r="G57" i="5"/>
  <c r="G58" i="5"/>
  <c r="I58" i="5"/>
  <c r="G59" i="5"/>
  <c r="I59" i="5"/>
  <c r="G60" i="5"/>
  <c r="I60" i="5" s="1"/>
  <c r="G61" i="5"/>
  <c r="G62" i="5"/>
  <c r="I62" i="5"/>
  <c r="G63" i="5"/>
  <c r="I63" i="5"/>
  <c r="G64" i="5"/>
  <c r="I64" i="5" s="1"/>
  <c r="G65" i="5"/>
  <c r="G66" i="5"/>
  <c r="I66" i="5"/>
  <c r="G67" i="5"/>
  <c r="I67" i="5"/>
  <c r="G68" i="5"/>
  <c r="I68" i="5" s="1"/>
  <c r="G69" i="5"/>
  <c r="G70" i="5"/>
  <c r="I70" i="5"/>
  <c r="G71" i="5"/>
  <c r="I71" i="5"/>
  <c r="G72" i="5"/>
  <c r="I72" i="5" s="1"/>
  <c r="G73" i="5"/>
  <c r="G74" i="5"/>
  <c r="I74" i="5"/>
  <c r="G75" i="5"/>
  <c r="I75" i="5"/>
  <c r="G76" i="5"/>
  <c r="I76" i="5" s="1"/>
  <c r="G77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S56" i="5" s="1"/>
  <c r="Q55" i="5"/>
  <c r="Q54" i="5"/>
  <c r="Q53" i="5"/>
  <c r="Q52" i="5"/>
  <c r="Q51" i="5"/>
  <c r="Q50" i="5"/>
  <c r="Q49" i="5"/>
  <c r="Q48" i="5"/>
  <c r="Q47" i="5"/>
  <c r="Q46" i="5"/>
  <c r="Q45" i="5"/>
  <c r="S45" i="5" s="1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S28" i="5" s="1"/>
  <c r="Q26" i="5"/>
  <c r="Q25" i="5"/>
  <c r="Q24" i="5"/>
  <c r="Q23" i="5"/>
  <c r="Q22" i="5"/>
  <c r="Q21" i="5"/>
  <c r="S21" i="5" s="1"/>
  <c r="Q20" i="5"/>
  <c r="Q19" i="5"/>
  <c r="S20" i="5" s="1"/>
  <c r="Q18" i="5"/>
  <c r="Q17" i="5"/>
  <c r="Q16" i="5"/>
  <c r="Q15" i="5"/>
  <c r="Q14" i="5"/>
  <c r="Q13" i="5"/>
  <c r="S13" i="5" s="1"/>
  <c r="Q12" i="5"/>
  <c r="Q11" i="5"/>
  <c r="S12" i="5" s="1"/>
  <c r="Q10" i="5"/>
  <c r="Q9" i="5"/>
  <c r="Q8" i="5"/>
  <c r="Q7" i="5"/>
  <c r="U6" i="5"/>
  <c r="Q6" i="5"/>
  <c r="U5" i="5"/>
  <c r="Q5" i="5"/>
  <c r="U4" i="5"/>
  <c r="Q4" i="5"/>
  <c r="U3" i="5"/>
  <c r="Q93" i="3"/>
  <c r="Q92" i="3"/>
  <c r="Q91" i="3"/>
  <c r="S92" i="3" s="1"/>
  <c r="Q90" i="3"/>
  <c r="S90" i="3" s="1"/>
  <c r="Q89" i="3"/>
  <c r="Q88" i="3"/>
  <c r="Q87" i="3"/>
  <c r="Q86" i="3"/>
  <c r="Q85" i="3"/>
  <c r="Q84" i="3"/>
  <c r="Q83" i="3"/>
  <c r="S84" i="3" s="1"/>
  <c r="Q82" i="3"/>
  <c r="Q81" i="3"/>
  <c r="Q80" i="3"/>
  <c r="Q79" i="3"/>
  <c r="Q78" i="3"/>
  <c r="Q77" i="3"/>
  <c r="Q76" i="3"/>
  <c r="Q75" i="3"/>
  <c r="S76" i="3" s="1"/>
  <c r="Q74" i="3"/>
  <c r="Q73" i="3"/>
  <c r="Q72" i="3"/>
  <c r="Q71" i="3"/>
  <c r="Q70" i="3"/>
  <c r="Q69" i="3"/>
  <c r="S69" i="3" s="1"/>
  <c r="Q68" i="3"/>
  <c r="Q67" i="3"/>
  <c r="S68" i="3" s="1"/>
  <c r="Q66" i="3"/>
  <c r="S66" i="3" s="1"/>
  <c r="S65" i="3"/>
  <c r="Q65" i="3"/>
  <c r="Q64" i="3"/>
  <c r="Q63" i="3"/>
  <c r="S64" i="3" s="1"/>
  <c r="Q62" i="3"/>
  <c r="Q61" i="3"/>
  <c r="S61" i="3" s="1"/>
  <c r="Q60" i="3"/>
  <c r="Q59" i="3"/>
  <c r="S60" i="3" s="1"/>
  <c r="Q58" i="3"/>
  <c r="Q57" i="3"/>
  <c r="S57" i="3" s="1"/>
  <c r="Q56" i="3"/>
  <c r="Q55" i="3"/>
  <c r="S56" i="3" s="1"/>
  <c r="Q54" i="3"/>
  <c r="Q53" i="3"/>
  <c r="S53" i="3" s="1"/>
  <c r="Q52" i="3"/>
  <c r="Q51" i="3"/>
  <c r="S52" i="3" s="1"/>
  <c r="Q50" i="3"/>
  <c r="Q49" i="3"/>
  <c r="S49" i="3" s="1"/>
  <c r="Q48" i="3"/>
  <c r="Q47" i="3"/>
  <c r="S48" i="3" s="1"/>
  <c r="Q46" i="3"/>
  <c r="S46" i="3" s="1"/>
  <c r="Q45" i="3"/>
  <c r="S45" i="3" s="1"/>
  <c r="Q44" i="3"/>
  <c r="Q43" i="3"/>
  <c r="S44" i="3" s="1"/>
  <c r="Q42" i="3"/>
  <c r="Q41" i="3"/>
  <c r="S41" i="3" s="1"/>
  <c r="Q40" i="3"/>
  <c r="Q39" i="3"/>
  <c r="Q38" i="3"/>
  <c r="Q37" i="3"/>
  <c r="S37" i="3" s="1"/>
  <c r="Q36" i="3"/>
  <c r="Q35" i="3"/>
  <c r="S36" i="3" s="1"/>
  <c r="Q34" i="3"/>
  <c r="S34" i="3" s="1"/>
  <c r="S33" i="3"/>
  <c r="Q33" i="3"/>
  <c r="Q32" i="3"/>
  <c r="Q31" i="3"/>
  <c r="S32" i="3" s="1"/>
  <c r="Q30" i="3"/>
  <c r="Q29" i="3"/>
  <c r="S29" i="3" s="1"/>
  <c r="Q28" i="3"/>
  <c r="Q27" i="3"/>
  <c r="S28" i="3" s="1"/>
  <c r="Q26" i="3"/>
  <c r="Q25" i="3"/>
  <c r="S25" i="3" s="1"/>
  <c r="Q24" i="3"/>
  <c r="Q23" i="3"/>
  <c r="S24" i="3" s="1"/>
  <c r="Q22" i="3"/>
  <c r="Q21" i="3"/>
  <c r="S21" i="3" s="1"/>
  <c r="Q20" i="3"/>
  <c r="Q19" i="3"/>
  <c r="S20" i="3" s="1"/>
  <c r="Q18" i="3"/>
  <c r="Q17" i="3"/>
  <c r="S17" i="3" s="1"/>
  <c r="Q16" i="3"/>
  <c r="Q15" i="3"/>
  <c r="S16" i="3" s="1"/>
  <c r="Q14" i="3"/>
  <c r="S14" i="3" s="1"/>
  <c r="Q13" i="3"/>
  <c r="S13" i="3" s="1"/>
  <c r="Q12" i="3"/>
  <c r="Q11" i="3"/>
  <c r="S12" i="3" s="1"/>
  <c r="Q10" i="3"/>
  <c r="Q9" i="3"/>
  <c r="S9" i="3" s="1"/>
  <c r="Q8" i="3"/>
  <c r="Q7" i="3"/>
  <c r="Q6" i="3"/>
  <c r="Q5" i="3"/>
  <c r="S5" i="3" s="1"/>
  <c r="Q4" i="3"/>
  <c r="L93" i="3"/>
  <c r="L92" i="3"/>
  <c r="L91" i="3"/>
  <c r="N91" i="3" s="1"/>
  <c r="L90" i="3"/>
  <c r="L89" i="3"/>
  <c r="L88" i="3"/>
  <c r="L87" i="3"/>
  <c r="L86" i="3"/>
  <c r="L85" i="3"/>
  <c r="L84" i="3"/>
  <c r="L83" i="3"/>
  <c r="N83" i="3" s="1"/>
  <c r="L82" i="3"/>
  <c r="L81" i="3"/>
  <c r="L80" i="3"/>
  <c r="L79" i="3"/>
  <c r="L78" i="3"/>
  <c r="L77" i="3"/>
  <c r="L76" i="3"/>
  <c r="N77" i="3" s="1"/>
  <c r="L75" i="3"/>
  <c r="N75" i="3" s="1"/>
  <c r="L74" i="3"/>
  <c r="L73" i="3"/>
  <c r="L72" i="3"/>
  <c r="N73" i="3" s="1"/>
  <c r="L71" i="3"/>
  <c r="L70" i="3"/>
  <c r="L69" i="3"/>
  <c r="L68" i="3"/>
  <c r="N69" i="3" s="1"/>
  <c r="L67" i="3"/>
  <c r="N67" i="3" s="1"/>
  <c r="L66" i="3"/>
  <c r="L65" i="3"/>
  <c r="L64" i="3"/>
  <c r="N65" i="3" s="1"/>
  <c r="L63" i="3"/>
  <c r="L62" i="3"/>
  <c r="L61" i="3"/>
  <c r="L60" i="3"/>
  <c r="N61" i="3" s="1"/>
  <c r="L59" i="3"/>
  <c r="N59" i="3" s="1"/>
  <c r="L58" i="3"/>
  <c r="L57" i="3"/>
  <c r="L56" i="3"/>
  <c r="N57" i="3" s="1"/>
  <c r="L55" i="3"/>
  <c r="L54" i="3"/>
  <c r="L53" i="3"/>
  <c r="L52" i="3"/>
  <c r="L51" i="3"/>
  <c r="N51" i="3" s="1"/>
  <c r="L50" i="3"/>
  <c r="L49" i="3"/>
  <c r="L48" i="3"/>
  <c r="L47" i="3"/>
  <c r="L46" i="3"/>
  <c r="L45" i="3"/>
  <c r="L44" i="3"/>
  <c r="L43" i="3"/>
  <c r="N43" i="3" s="1"/>
  <c r="L42" i="3"/>
  <c r="L41" i="3"/>
  <c r="L40" i="3"/>
  <c r="L39" i="3"/>
  <c r="L38" i="3"/>
  <c r="L37" i="3"/>
  <c r="L36" i="3"/>
  <c r="L35" i="3"/>
  <c r="N35" i="3" s="1"/>
  <c r="L34" i="3"/>
  <c r="L33" i="3"/>
  <c r="L32" i="3"/>
  <c r="L31" i="3"/>
  <c r="L30" i="3"/>
  <c r="L29" i="3"/>
  <c r="L28" i="3"/>
  <c r="L27" i="3"/>
  <c r="N27" i="3" s="1"/>
  <c r="L26" i="3"/>
  <c r="L25" i="3"/>
  <c r="L24" i="3"/>
  <c r="L23" i="3"/>
  <c r="L22" i="3"/>
  <c r="L21" i="3"/>
  <c r="L20" i="3"/>
  <c r="L19" i="3"/>
  <c r="N19" i="3" s="1"/>
  <c r="L18" i="3"/>
  <c r="L17" i="3"/>
  <c r="L16" i="3"/>
  <c r="N17" i="3" s="1"/>
  <c r="L15" i="3"/>
  <c r="L14" i="3"/>
  <c r="L13" i="3"/>
  <c r="L12" i="3"/>
  <c r="L11" i="3"/>
  <c r="N11" i="3" s="1"/>
  <c r="L10" i="3"/>
  <c r="L9" i="3"/>
  <c r="L8" i="3"/>
  <c r="N9" i="3" s="1"/>
  <c r="L7" i="3"/>
  <c r="L6" i="3"/>
  <c r="L5" i="3"/>
  <c r="L4" i="3"/>
  <c r="N5" i="3" s="1"/>
  <c r="I78" i="3"/>
  <c r="I84" i="3"/>
  <c r="I85" i="3"/>
  <c r="I86" i="3"/>
  <c r="I92" i="3"/>
  <c r="I93" i="3"/>
  <c r="B78" i="3"/>
  <c r="D78" i="3" s="1"/>
  <c r="B79" i="3"/>
  <c r="B80" i="3"/>
  <c r="D80" i="3" s="1"/>
  <c r="B81" i="3"/>
  <c r="D81" i="3"/>
  <c r="B82" i="3"/>
  <c r="B83" i="3"/>
  <c r="D83" i="3" s="1"/>
  <c r="B84" i="3"/>
  <c r="B85" i="3"/>
  <c r="D85" i="3" s="1"/>
  <c r="B86" i="3"/>
  <c r="B87" i="3"/>
  <c r="D87" i="3" s="1"/>
  <c r="B88" i="3"/>
  <c r="D88" i="3" s="1"/>
  <c r="B89" i="3"/>
  <c r="D89" i="3" s="1"/>
  <c r="B90" i="3"/>
  <c r="B91" i="3"/>
  <c r="D91" i="3" s="1"/>
  <c r="B92" i="3"/>
  <c r="B93" i="3"/>
  <c r="D93" i="3"/>
  <c r="G78" i="3"/>
  <c r="G79" i="3"/>
  <c r="I79" i="3" s="1"/>
  <c r="G80" i="3"/>
  <c r="I80" i="3" s="1"/>
  <c r="G81" i="3"/>
  <c r="I81" i="3" s="1"/>
  <c r="G82" i="3"/>
  <c r="I82" i="3" s="1"/>
  <c r="G83" i="3"/>
  <c r="G84" i="3"/>
  <c r="G85" i="3"/>
  <c r="G86" i="3"/>
  <c r="G87" i="3"/>
  <c r="I87" i="3" s="1"/>
  <c r="G88" i="3"/>
  <c r="I88" i="3" s="1"/>
  <c r="G89" i="3"/>
  <c r="I89" i="3" s="1"/>
  <c r="G90" i="3"/>
  <c r="I90" i="3" s="1"/>
  <c r="G91" i="3"/>
  <c r="G92" i="3"/>
  <c r="G93" i="3"/>
  <c r="G77" i="3"/>
  <c r="G76" i="3"/>
  <c r="G75" i="3"/>
  <c r="G74" i="3"/>
  <c r="G73" i="3"/>
  <c r="I73" i="3" s="1"/>
  <c r="G72" i="3"/>
  <c r="G71" i="3"/>
  <c r="G70" i="3"/>
  <c r="G69" i="3"/>
  <c r="G68" i="3"/>
  <c r="G67" i="3"/>
  <c r="G66" i="3"/>
  <c r="G65" i="3"/>
  <c r="I65" i="3" s="1"/>
  <c r="G64" i="3"/>
  <c r="G63" i="3"/>
  <c r="G62" i="3"/>
  <c r="G61" i="3"/>
  <c r="G60" i="3"/>
  <c r="G59" i="3"/>
  <c r="G58" i="3"/>
  <c r="G57" i="3"/>
  <c r="I57" i="3" s="1"/>
  <c r="G56" i="3"/>
  <c r="G55" i="3"/>
  <c r="G54" i="3"/>
  <c r="G53" i="3"/>
  <c r="G52" i="3"/>
  <c r="G51" i="3"/>
  <c r="G50" i="3"/>
  <c r="G49" i="3"/>
  <c r="I49" i="3" s="1"/>
  <c r="G48" i="3"/>
  <c r="G47" i="3"/>
  <c r="G46" i="3"/>
  <c r="G45" i="3"/>
  <c r="G44" i="3"/>
  <c r="G43" i="3"/>
  <c r="G42" i="3"/>
  <c r="G41" i="3"/>
  <c r="I41" i="3" s="1"/>
  <c r="G40" i="3"/>
  <c r="G39" i="3"/>
  <c r="G38" i="3"/>
  <c r="G37" i="3"/>
  <c r="G36" i="3"/>
  <c r="G35" i="3"/>
  <c r="G34" i="3"/>
  <c r="G33" i="3"/>
  <c r="I33" i="3" s="1"/>
  <c r="G32" i="3"/>
  <c r="G31" i="3"/>
  <c r="G30" i="3"/>
  <c r="G29" i="3"/>
  <c r="G28" i="3"/>
  <c r="G27" i="3"/>
  <c r="G26" i="3"/>
  <c r="G25" i="3"/>
  <c r="I25" i="3" s="1"/>
  <c r="G24" i="3"/>
  <c r="G23" i="3"/>
  <c r="G22" i="3"/>
  <c r="G21" i="3"/>
  <c r="G20" i="3"/>
  <c r="G19" i="3"/>
  <c r="G18" i="3"/>
  <c r="G17" i="3"/>
  <c r="I17" i="3" s="1"/>
  <c r="G16" i="3"/>
  <c r="G15" i="3"/>
  <c r="G14" i="3"/>
  <c r="G13" i="3"/>
  <c r="G12" i="3"/>
  <c r="G11" i="3"/>
  <c r="G10" i="3"/>
  <c r="G9" i="3"/>
  <c r="I9" i="3" s="1"/>
  <c r="G8" i="3"/>
  <c r="G7" i="3"/>
  <c r="G6" i="3"/>
  <c r="G5" i="3"/>
  <c r="G4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D59" i="3" s="1"/>
  <c r="B58" i="3"/>
  <c r="B57" i="3"/>
  <c r="B56" i="3"/>
  <c r="B55" i="3"/>
  <c r="B54" i="3"/>
  <c r="B53" i="3"/>
  <c r="B52" i="3"/>
  <c r="D52" i="3" s="1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D36" i="3" s="1"/>
  <c r="B35" i="3"/>
  <c r="B34" i="3"/>
  <c r="B33" i="3"/>
  <c r="B32" i="3"/>
  <c r="B31" i="3"/>
  <c r="B30" i="3"/>
  <c r="B29" i="3"/>
  <c r="B28" i="3"/>
  <c r="D28" i="3" s="1"/>
  <c r="B27" i="3"/>
  <c r="B26" i="3"/>
  <c r="B25" i="3"/>
  <c r="B24" i="3"/>
  <c r="B23" i="3"/>
  <c r="B22" i="3"/>
  <c r="B21" i="3"/>
  <c r="D21" i="3" s="1"/>
  <c r="D20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L86" i="1"/>
  <c r="L87" i="1"/>
  <c r="N87" i="1" s="1"/>
  <c r="B74" i="1"/>
  <c r="B75" i="1"/>
  <c r="B76" i="1"/>
  <c r="L84" i="1"/>
  <c r="N84" i="1" s="1"/>
  <c r="L85" i="1"/>
  <c r="N85" i="1" s="1"/>
  <c r="N65" i="1"/>
  <c r="N73" i="1"/>
  <c r="L44" i="1"/>
  <c r="L45" i="1"/>
  <c r="N45" i="1" s="1"/>
  <c r="L46" i="1"/>
  <c r="N46" i="1" s="1"/>
  <c r="L47" i="1"/>
  <c r="L48" i="1"/>
  <c r="N48" i="1" s="1"/>
  <c r="L49" i="1"/>
  <c r="L50" i="1"/>
  <c r="N50" i="1" s="1"/>
  <c r="L51" i="1"/>
  <c r="N51" i="1" s="1"/>
  <c r="L52" i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L61" i="1"/>
  <c r="N61" i="1" s="1"/>
  <c r="L62" i="1"/>
  <c r="N62" i="1" s="1"/>
  <c r="L63" i="1"/>
  <c r="N63" i="1" s="1"/>
  <c r="L64" i="1"/>
  <c r="N64" i="1" s="1"/>
  <c r="L65" i="1"/>
  <c r="L66" i="1"/>
  <c r="N66" i="1" s="1"/>
  <c r="L67" i="1"/>
  <c r="N67" i="1" s="1"/>
  <c r="L68" i="1"/>
  <c r="L69" i="1"/>
  <c r="N69" i="1" s="1"/>
  <c r="L70" i="1"/>
  <c r="N70" i="1" s="1"/>
  <c r="L71" i="1"/>
  <c r="N71" i="1" s="1"/>
  <c r="L72" i="1"/>
  <c r="N72" i="1" s="1"/>
  <c r="L73" i="1"/>
  <c r="L74" i="1"/>
  <c r="N74" i="1" s="1"/>
  <c r="L75" i="1"/>
  <c r="N75" i="1" s="1"/>
  <c r="L76" i="1"/>
  <c r="L77" i="1"/>
  <c r="N77" i="1" s="1"/>
  <c r="L78" i="1"/>
  <c r="N78" i="1" s="1"/>
  <c r="L79" i="1"/>
  <c r="N79" i="1" s="1"/>
  <c r="L80" i="1"/>
  <c r="N80" i="1" s="1"/>
  <c r="L81" i="1"/>
  <c r="L82" i="1"/>
  <c r="N82" i="1" s="1"/>
  <c r="L83" i="1"/>
  <c r="N83" i="1" s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L4" i="1"/>
  <c r="L5" i="1"/>
  <c r="L6" i="1"/>
  <c r="L7" i="1"/>
  <c r="L8" i="1"/>
  <c r="L9" i="1"/>
  <c r="L10" i="1"/>
  <c r="L11" i="1"/>
  <c r="N11" i="1" s="1"/>
  <c r="L12" i="1"/>
  <c r="N12" i="1" s="1"/>
  <c r="L13" i="1"/>
  <c r="L14" i="1"/>
  <c r="L15" i="1"/>
  <c r="L16" i="1"/>
  <c r="L17" i="1"/>
  <c r="L18" i="1"/>
  <c r="N18" i="1" s="1"/>
  <c r="L19" i="1"/>
  <c r="N19" i="1" s="1"/>
  <c r="L20" i="1"/>
  <c r="N20" i="1" s="1"/>
  <c r="L21" i="1"/>
  <c r="L22" i="1"/>
  <c r="L23" i="1"/>
  <c r="N23" i="1" s="1"/>
  <c r="L24" i="1"/>
  <c r="L25" i="1"/>
  <c r="L26" i="1"/>
  <c r="N26" i="1" s="1"/>
  <c r="L27" i="1"/>
  <c r="N27" i="1" s="1"/>
  <c r="L28" i="1"/>
  <c r="N28" i="1" s="1"/>
  <c r="L29" i="1"/>
  <c r="L30" i="1"/>
  <c r="L31" i="1"/>
  <c r="L32" i="1"/>
  <c r="L33" i="1"/>
  <c r="L34" i="1"/>
  <c r="N34" i="1" s="1"/>
  <c r="L35" i="1"/>
  <c r="N35" i="1" s="1"/>
  <c r="L36" i="1"/>
  <c r="N36" i="1" s="1"/>
  <c r="L37" i="1"/>
  <c r="L38" i="1"/>
  <c r="L39" i="1"/>
  <c r="N39" i="1" s="1"/>
  <c r="L40" i="1"/>
  <c r="L41" i="1"/>
  <c r="L42" i="1"/>
  <c r="N42" i="1" s="1"/>
  <c r="L43" i="1"/>
  <c r="N43" i="1" s="1"/>
  <c r="L3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I9" i="1" l="1"/>
  <c r="I13" i="1"/>
  <c r="I21" i="1"/>
  <c r="I25" i="1"/>
  <c r="I29" i="1"/>
  <c r="I37" i="1"/>
  <c r="I41" i="1"/>
  <c r="I45" i="1"/>
  <c r="I49" i="1"/>
  <c r="I53" i="1"/>
  <c r="I57" i="1"/>
  <c r="I61" i="1"/>
  <c r="I65" i="1"/>
  <c r="I73" i="1"/>
  <c r="I5" i="1"/>
  <c r="I17" i="1"/>
  <c r="I33" i="1"/>
  <c r="I69" i="1"/>
  <c r="N16" i="1"/>
  <c r="N38" i="1"/>
  <c r="N30" i="1"/>
  <c r="N22" i="1"/>
  <c r="N14" i="1"/>
  <c r="N6" i="1"/>
  <c r="N81" i="1"/>
  <c r="N49" i="1"/>
  <c r="N8" i="1"/>
  <c r="N4" i="1"/>
  <c r="N47" i="1"/>
  <c r="N32" i="1"/>
  <c r="N86" i="1"/>
  <c r="N10" i="1"/>
  <c r="N41" i="1"/>
  <c r="N33" i="1"/>
  <c r="N25" i="1"/>
  <c r="N17" i="1"/>
  <c r="N9" i="1"/>
  <c r="N76" i="1"/>
  <c r="N68" i="1"/>
  <c r="N60" i="1"/>
  <c r="N52" i="1"/>
  <c r="N44" i="1"/>
  <c r="N77" i="5"/>
  <c r="N69" i="5"/>
  <c r="N65" i="5"/>
  <c r="N61" i="5"/>
  <c r="N57" i="5"/>
  <c r="N53" i="5"/>
  <c r="N49" i="5"/>
  <c r="N45" i="5"/>
  <c r="N41" i="5"/>
  <c r="N37" i="5"/>
  <c r="N33" i="5"/>
  <c r="N29" i="5"/>
  <c r="N25" i="5"/>
  <c r="N21" i="5"/>
  <c r="N17" i="5"/>
  <c r="N13" i="5"/>
  <c r="N9" i="5"/>
  <c r="I77" i="5"/>
  <c r="I69" i="5"/>
  <c r="I65" i="5"/>
  <c r="I61" i="5"/>
  <c r="I57" i="5"/>
  <c r="I53" i="5"/>
  <c r="I49" i="5"/>
  <c r="I45" i="5"/>
  <c r="I41" i="5"/>
  <c r="I37" i="5"/>
  <c r="I33" i="5"/>
  <c r="I29" i="5"/>
  <c r="I25" i="5"/>
  <c r="I21" i="5"/>
  <c r="I17" i="5"/>
  <c r="I13" i="5"/>
  <c r="I9" i="5"/>
  <c r="I73" i="5"/>
  <c r="S76" i="5"/>
  <c r="S58" i="5"/>
  <c r="S74" i="5"/>
  <c r="S9" i="5"/>
  <c r="S17" i="5"/>
  <c r="S25" i="5"/>
  <c r="S54" i="5"/>
  <c r="S72" i="5"/>
  <c r="S49" i="5"/>
  <c r="S5" i="5"/>
  <c r="S15" i="5"/>
  <c r="S23" i="5"/>
  <c r="S47" i="5"/>
  <c r="S70" i="5"/>
  <c r="S60" i="5"/>
  <c r="S51" i="5"/>
  <c r="S53" i="5"/>
  <c r="S61" i="5"/>
  <c r="S63" i="5"/>
  <c r="S65" i="5"/>
  <c r="S67" i="5"/>
  <c r="S69" i="5"/>
  <c r="S32" i="5"/>
  <c r="S34" i="5"/>
  <c r="S36" i="5"/>
  <c r="S40" i="5"/>
  <c r="S42" i="5"/>
  <c r="S77" i="5"/>
  <c r="S29" i="5"/>
  <c r="S44" i="5"/>
  <c r="S71" i="5"/>
  <c r="S33" i="5"/>
  <c r="S35" i="5"/>
  <c r="S46" i="5"/>
  <c r="S48" i="5"/>
  <c r="S55" i="5"/>
  <c r="S62" i="5"/>
  <c r="S64" i="5"/>
  <c r="S31" i="5"/>
  <c r="S7" i="5"/>
  <c r="S37" i="5"/>
  <c r="S39" i="5"/>
  <c r="S41" i="5"/>
  <c r="S57" i="5"/>
  <c r="S73" i="5"/>
  <c r="S75" i="5"/>
  <c r="S8" i="5"/>
  <c r="S10" i="5"/>
  <c r="S16" i="5"/>
  <c r="S18" i="5"/>
  <c r="S24" i="5"/>
  <c r="S26" i="5"/>
  <c r="S43" i="5"/>
  <c r="S50" i="5"/>
  <c r="S52" i="5"/>
  <c r="S59" i="5"/>
  <c r="S66" i="5"/>
  <c r="S68" i="5"/>
  <c r="S11" i="5"/>
  <c r="S19" i="5"/>
  <c r="S27" i="5"/>
  <c r="S14" i="5"/>
  <c r="S22" i="5"/>
  <c r="S30" i="5"/>
  <c r="S38" i="5"/>
  <c r="S6" i="5"/>
  <c r="D68" i="3"/>
  <c r="I34" i="3"/>
  <c r="N20" i="3"/>
  <c r="S73" i="3"/>
  <c r="I27" i="3"/>
  <c r="I51" i="3"/>
  <c r="N29" i="3"/>
  <c r="S22" i="3"/>
  <c r="S54" i="3"/>
  <c r="S82" i="3"/>
  <c r="D70" i="3"/>
  <c r="I12" i="3"/>
  <c r="I20" i="3"/>
  <c r="I28" i="3"/>
  <c r="I36" i="3"/>
  <c r="I44" i="3"/>
  <c r="I52" i="3"/>
  <c r="I60" i="3"/>
  <c r="I68" i="3"/>
  <c r="I76" i="3"/>
  <c r="I91" i="3"/>
  <c r="I83" i="3"/>
  <c r="N6" i="3"/>
  <c r="N14" i="3"/>
  <c r="N22" i="3"/>
  <c r="N30" i="3"/>
  <c r="N38" i="3"/>
  <c r="N46" i="3"/>
  <c r="N54" i="3"/>
  <c r="N62" i="3"/>
  <c r="N70" i="3"/>
  <c r="N78" i="3"/>
  <c r="N86" i="3"/>
  <c r="S10" i="3"/>
  <c r="S42" i="3"/>
  <c r="I10" i="3"/>
  <c r="I58" i="3"/>
  <c r="N44" i="3"/>
  <c r="D7" i="3"/>
  <c r="D46" i="3"/>
  <c r="I11" i="3"/>
  <c r="I43" i="3"/>
  <c r="I75" i="3"/>
  <c r="N45" i="3"/>
  <c r="N93" i="3"/>
  <c r="D40" i="3"/>
  <c r="I5" i="3"/>
  <c r="I13" i="3"/>
  <c r="I21" i="3"/>
  <c r="I29" i="3"/>
  <c r="I37" i="3"/>
  <c r="I45" i="3"/>
  <c r="I53" i="3"/>
  <c r="I61" i="3"/>
  <c r="I69" i="3"/>
  <c r="I77" i="3"/>
  <c r="N7" i="3"/>
  <c r="N15" i="3"/>
  <c r="N23" i="3"/>
  <c r="N31" i="3"/>
  <c r="N39" i="3"/>
  <c r="N47" i="3"/>
  <c r="N55" i="3"/>
  <c r="N63" i="3"/>
  <c r="N71" i="3"/>
  <c r="N79" i="3"/>
  <c r="N87" i="3"/>
  <c r="S30" i="3"/>
  <c r="S62" i="3"/>
  <c r="D6" i="3"/>
  <c r="I50" i="3"/>
  <c r="N28" i="3"/>
  <c r="D53" i="3"/>
  <c r="I35" i="3"/>
  <c r="I67" i="3"/>
  <c r="N37" i="3"/>
  <c r="S74" i="3"/>
  <c r="D8" i="3"/>
  <c r="D56" i="3"/>
  <c r="I6" i="3"/>
  <c r="I30" i="3"/>
  <c r="I54" i="3"/>
  <c r="I70" i="3"/>
  <c r="D86" i="3"/>
  <c r="N24" i="3"/>
  <c r="N32" i="3"/>
  <c r="N40" i="3"/>
  <c r="N48" i="3"/>
  <c r="N80" i="3"/>
  <c r="N88" i="3"/>
  <c r="S18" i="3"/>
  <c r="S50" i="3"/>
  <c r="S77" i="3"/>
  <c r="S85" i="3"/>
  <c r="D14" i="3"/>
  <c r="I26" i="3"/>
  <c r="I74" i="3"/>
  <c r="N36" i="3"/>
  <c r="N84" i="3"/>
  <c r="S81" i="3"/>
  <c r="D38" i="3"/>
  <c r="I19" i="3"/>
  <c r="I59" i="3"/>
  <c r="N13" i="3"/>
  <c r="N53" i="3"/>
  <c r="N85" i="3"/>
  <c r="D19" i="3"/>
  <c r="I39" i="3"/>
  <c r="N81" i="3"/>
  <c r="S38" i="3"/>
  <c r="S70" i="3"/>
  <c r="S78" i="3"/>
  <c r="S86" i="3"/>
  <c r="S93" i="3"/>
  <c r="D60" i="3"/>
  <c r="I18" i="3"/>
  <c r="I42" i="3"/>
  <c r="I66" i="3"/>
  <c r="N12" i="3"/>
  <c r="N52" i="3"/>
  <c r="N92" i="3"/>
  <c r="S89" i="3"/>
  <c r="N21" i="3"/>
  <c r="D16" i="3"/>
  <c r="D24" i="3"/>
  <c r="D32" i="3"/>
  <c r="D48" i="3"/>
  <c r="D33" i="3"/>
  <c r="D64" i="3"/>
  <c r="D72" i="3"/>
  <c r="I14" i="3"/>
  <c r="I22" i="3"/>
  <c r="I38" i="3"/>
  <c r="I46" i="3"/>
  <c r="I62" i="3"/>
  <c r="D26" i="3"/>
  <c r="D65" i="3"/>
  <c r="I7" i="3"/>
  <c r="I15" i="3"/>
  <c r="I23" i="3"/>
  <c r="I31" i="3"/>
  <c r="I47" i="3"/>
  <c r="I55" i="3"/>
  <c r="I63" i="3"/>
  <c r="I71" i="3"/>
  <c r="N25" i="3"/>
  <c r="N33" i="3"/>
  <c r="N41" i="3"/>
  <c r="N49" i="3"/>
  <c r="N89" i="3"/>
  <c r="S6" i="3"/>
  <c r="D12" i="3"/>
  <c r="D27" i="3"/>
  <c r="D51" i="3"/>
  <c r="I8" i="3"/>
  <c r="I16" i="3"/>
  <c r="I24" i="3"/>
  <c r="I32" i="3"/>
  <c r="I40" i="3"/>
  <c r="I48" i="3"/>
  <c r="I56" i="3"/>
  <c r="I64" i="3"/>
  <c r="I72" i="3"/>
  <c r="D92" i="3"/>
  <c r="D79" i="3"/>
  <c r="N10" i="3"/>
  <c r="N18" i="3"/>
  <c r="N26" i="3"/>
  <c r="N34" i="3"/>
  <c r="N42" i="3"/>
  <c r="N50" i="3"/>
  <c r="N58" i="3"/>
  <c r="N66" i="3"/>
  <c r="N74" i="3"/>
  <c r="N82" i="3"/>
  <c r="N90" i="3"/>
  <c r="S8" i="3"/>
  <c r="S26" i="3"/>
  <c r="S40" i="3"/>
  <c r="S58" i="3"/>
  <c r="S72" i="3"/>
  <c r="S80" i="3"/>
  <c r="S88" i="3"/>
  <c r="N40" i="1"/>
  <c r="N24" i="1"/>
  <c r="N31" i="1"/>
  <c r="N15" i="1"/>
  <c r="N7" i="1"/>
  <c r="N37" i="1"/>
  <c r="N29" i="1"/>
  <c r="N21" i="1"/>
  <c r="N13" i="1"/>
  <c r="N5" i="1"/>
  <c r="S7" i="3"/>
  <c r="S11" i="3"/>
  <c r="S15" i="3"/>
  <c r="S19" i="3"/>
  <c r="S23" i="3"/>
  <c r="S27" i="3"/>
  <c r="S31" i="3"/>
  <c r="S35" i="3"/>
  <c r="S39" i="3"/>
  <c r="S43" i="3"/>
  <c r="S47" i="3"/>
  <c r="S51" i="3"/>
  <c r="S55" i="3"/>
  <c r="S59" i="3"/>
  <c r="S63" i="3"/>
  <c r="S67" i="3"/>
  <c r="S71" i="3"/>
  <c r="S75" i="3"/>
  <c r="S79" i="3"/>
  <c r="S83" i="3"/>
  <c r="S87" i="3"/>
  <c r="S91" i="3"/>
  <c r="N8" i="3"/>
  <c r="N16" i="3"/>
  <c r="N56" i="3"/>
  <c r="N60" i="3"/>
  <c r="N64" i="3"/>
  <c r="N68" i="3"/>
  <c r="N72" i="3"/>
  <c r="N76" i="3"/>
  <c r="D76" i="3"/>
  <c r="D90" i="3"/>
  <c r="D77" i="3"/>
  <c r="D82" i="3"/>
  <c r="D84" i="3"/>
  <c r="D66" i="3"/>
  <c r="D22" i="3"/>
  <c r="D35" i="3"/>
  <c r="D23" i="3"/>
  <c r="D42" i="3"/>
  <c r="D61" i="3"/>
  <c r="D11" i="3"/>
  <c r="D75" i="3"/>
  <c r="D5" i="3"/>
  <c r="D18" i="3"/>
  <c r="D31" i="3"/>
  <c r="D37" i="3"/>
  <c r="D50" i="3"/>
  <c r="D63" i="3"/>
  <c r="D69" i="3"/>
  <c r="D15" i="3"/>
  <c r="D9" i="3"/>
  <c r="D41" i="3"/>
  <c r="D67" i="3"/>
  <c r="D10" i="3"/>
  <c r="D29" i="3"/>
  <c r="D17" i="3"/>
  <c r="D43" i="3"/>
  <c r="D62" i="3"/>
  <c r="D25" i="3"/>
  <c r="D44" i="3"/>
  <c r="D57" i="3"/>
  <c r="D34" i="3"/>
  <c r="D47" i="3"/>
  <c r="D54" i="3"/>
  <c r="D73" i="3"/>
  <c r="D55" i="3"/>
  <c r="D74" i="3"/>
  <c r="D30" i="3"/>
  <c r="D49" i="3"/>
  <c r="D13" i="3"/>
  <c r="D39" i="3"/>
  <c r="D45" i="3"/>
  <c r="D58" i="3"/>
  <c r="D71" i="3"/>
</calcChain>
</file>

<file path=xl/sharedStrings.xml><?xml version="1.0" encoding="utf-8"?>
<sst xmlns="http://schemas.openxmlformats.org/spreadsheetml/2006/main" count="84" uniqueCount="28">
  <si>
    <t>Cumulaitve PSD</t>
  </si>
  <si>
    <t>PSD</t>
  </si>
  <si>
    <t>d (nm)</t>
  </si>
  <si>
    <t>d (A)</t>
  </si>
  <si>
    <t>PoreBlazer Cumulaitve PSD</t>
  </si>
  <si>
    <t>PoreBlazer PSD</t>
  </si>
  <si>
    <t>Water Domain</t>
  </si>
  <si>
    <t>Polar Domain</t>
  </si>
  <si>
    <t>Polymer Domain</t>
  </si>
  <si>
    <t>Nonpolar Domain</t>
  </si>
  <si>
    <t>PrO-VAT L = 1.0 A</t>
  </si>
  <si>
    <t>PoreBlazer L = 1.0 A</t>
  </si>
  <si>
    <t>min</t>
  </si>
  <si>
    <t>PrO-VAT L = 0.5 A</t>
  </si>
  <si>
    <t>PoreBlazer L = 0.5 A</t>
  </si>
  <si>
    <t>Time to calculate PSD</t>
  </si>
  <si>
    <t>1 Frame</t>
  </si>
  <si>
    <t>~5</t>
  </si>
  <si>
    <t>~0.5</t>
  </si>
  <si>
    <t>~3.5</t>
  </si>
  <si>
    <t>24 Frames</t>
  </si>
  <si>
    <t>PrO-VAT, 24 Frames</t>
  </si>
  <si>
    <t>PrO-VAT, 1 Frame</t>
  </si>
  <si>
    <t>PoreBlazer, 1 Frame</t>
  </si>
  <si>
    <t>~35</t>
  </si>
  <si>
    <t>PrO-VAT, 1 Frame, 8 (Random) Analyses</t>
  </si>
  <si>
    <t>~0.75</t>
  </si>
  <si>
    <t>~45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</si>
</sst>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'GRO-GRO'!$C$2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'GRO-GRO'!$C$3:$C$76</c:f>
              <c:numCache>
                <c:formatCode>General</c:formatCode>
                <c:ptCount val="74"/>
                <c:pt idx="0">
                  <c:v>1</c:v>
                </c:pt>
                <c:pt idx="1">
                  <c:v>1</c:v>
                </c:pt>
                <c:pt idx="2">
                  <c:v>0.99283999999999994</c:v>
                </c:pt>
                <c:pt idx="3">
                  <c:v>0.97953999999999997</c:v>
                </c:pt>
                <c:pt idx="4">
                  <c:v>0.95521</c:v>
                </c:pt>
                <c:pt idx="5">
                  <c:v>0.93877999999999995</c:v>
                </c:pt>
                <c:pt idx="6">
                  <c:v>0.92310999999999999</c:v>
                </c:pt>
                <c:pt idx="7">
                  <c:v>0.91437999999999997</c:v>
                </c:pt>
                <c:pt idx="8">
                  <c:v>0.88815</c:v>
                </c:pt>
                <c:pt idx="9">
                  <c:v>0.86614000000000002</c:v>
                </c:pt>
                <c:pt idx="10">
                  <c:v>0.83550000000000002</c:v>
                </c:pt>
                <c:pt idx="11">
                  <c:v>0.81732000000000005</c:v>
                </c:pt>
                <c:pt idx="12">
                  <c:v>0.80281999999999998</c:v>
                </c:pt>
                <c:pt idx="13">
                  <c:v>0.78800000000000003</c:v>
                </c:pt>
                <c:pt idx="14">
                  <c:v>0.76848000000000005</c:v>
                </c:pt>
                <c:pt idx="15">
                  <c:v>0.74744999999999995</c:v>
                </c:pt>
                <c:pt idx="16">
                  <c:v>0.72629999999999995</c:v>
                </c:pt>
                <c:pt idx="17">
                  <c:v>0.70464000000000004</c:v>
                </c:pt>
                <c:pt idx="18">
                  <c:v>0.68738999999999995</c:v>
                </c:pt>
                <c:pt idx="19">
                  <c:v>0.66691</c:v>
                </c:pt>
                <c:pt idx="20">
                  <c:v>0.64185999999999999</c:v>
                </c:pt>
                <c:pt idx="21">
                  <c:v>0.62</c:v>
                </c:pt>
                <c:pt idx="22">
                  <c:v>0.60560000000000003</c:v>
                </c:pt>
                <c:pt idx="23">
                  <c:v>0.58477999999999997</c:v>
                </c:pt>
                <c:pt idx="24">
                  <c:v>0.56428</c:v>
                </c:pt>
                <c:pt idx="25">
                  <c:v>0.54715000000000003</c:v>
                </c:pt>
                <c:pt idx="26">
                  <c:v>0.52710999999999997</c:v>
                </c:pt>
                <c:pt idx="27">
                  <c:v>0.50185000000000002</c:v>
                </c:pt>
                <c:pt idx="28">
                  <c:v>0.47188000000000002</c:v>
                </c:pt>
                <c:pt idx="29">
                  <c:v>0.45390999999999998</c:v>
                </c:pt>
                <c:pt idx="30">
                  <c:v>0.43675000000000003</c:v>
                </c:pt>
                <c:pt idx="31">
                  <c:v>0.41526000000000002</c:v>
                </c:pt>
                <c:pt idx="32">
                  <c:v>0.38868000000000003</c:v>
                </c:pt>
                <c:pt idx="33">
                  <c:v>0.36852000000000001</c:v>
                </c:pt>
                <c:pt idx="34">
                  <c:v>0.35015000000000002</c:v>
                </c:pt>
                <c:pt idx="35">
                  <c:v>0.33294000000000001</c:v>
                </c:pt>
                <c:pt idx="36">
                  <c:v>0.31390000000000001</c:v>
                </c:pt>
                <c:pt idx="37">
                  <c:v>0.29808000000000001</c:v>
                </c:pt>
                <c:pt idx="38">
                  <c:v>0.28600999999999999</c:v>
                </c:pt>
                <c:pt idx="39">
                  <c:v>0.26906999999999998</c:v>
                </c:pt>
                <c:pt idx="40">
                  <c:v>0.25256000000000001</c:v>
                </c:pt>
                <c:pt idx="41">
                  <c:v>0.23180999999999999</c:v>
                </c:pt>
                <c:pt idx="42">
                  <c:v>0.22047</c:v>
                </c:pt>
                <c:pt idx="43">
                  <c:v>0.19527</c:v>
                </c:pt>
                <c:pt idx="44">
                  <c:v>0.18253</c:v>
                </c:pt>
                <c:pt idx="45">
                  <c:v>0.17401</c:v>
                </c:pt>
                <c:pt idx="46">
                  <c:v>0.15665999999999999</c:v>
                </c:pt>
                <c:pt idx="47">
                  <c:v>0.14588000000000001</c:v>
                </c:pt>
                <c:pt idx="48">
                  <c:v>0.13568</c:v>
                </c:pt>
                <c:pt idx="49">
                  <c:v>0.12078</c:v>
                </c:pt>
                <c:pt idx="50">
                  <c:v>9.1230000000000006E-2</c:v>
                </c:pt>
                <c:pt idx="51">
                  <c:v>8.7959999999999997E-2</c:v>
                </c:pt>
                <c:pt idx="52">
                  <c:v>8.5400000000000004E-2</c:v>
                </c:pt>
                <c:pt idx="53">
                  <c:v>7.7410000000000007E-2</c:v>
                </c:pt>
                <c:pt idx="54">
                  <c:v>7.324E-2</c:v>
                </c:pt>
                <c:pt idx="55">
                  <c:v>7.0069999999999993E-2</c:v>
                </c:pt>
                <c:pt idx="56">
                  <c:v>6.9070000000000006E-2</c:v>
                </c:pt>
                <c:pt idx="57">
                  <c:v>5.6009999999999997E-2</c:v>
                </c:pt>
                <c:pt idx="58">
                  <c:v>4.607E-2</c:v>
                </c:pt>
                <c:pt idx="59">
                  <c:v>2.9069999999999999E-2</c:v>
                </c:pt>
                <c:pt idx="60">
                  <c:v>2.7990000000000001E-2</c:v>
                </c:pt>
                <c:pt idx="61">
                  <c:v>2.7369999999999998E-2</c:v>
                </c:pt>
                <c:pt idx="62">
                  <c:v>2.5239999999999999E-2</c:v>
                </c:pt>
                <c:pt idx="63">
                  <c:v>2.443E-2</c:v>
                </c:pt>
                <c:pt idx="64">
                  <c:v>2.3130000000000001E-2</c:v>
                </c:pt>
                <c:pt idx="65">
                  <c:v>2.24E-2</c:v>
                </c:pt>
                <c:pt idx="66">
                  <c:v>2.1530000000000001E-2</c:v>
                </c:pt>
                <c:pt idx="67">
                  <c:v>1.9800000000000002E-2</c:v>
                </c:pt>
                <c:pt idx="68">
                  <c:v>1.967E-2</c:v>
                </c:pt>
                <c:pt idx="69">
                  <c:v>1.7489999999999999E-2</c:v>
                </c:pt>
                <c:pt idx="70">
                  <c:v>1.5100000000000001E-2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'GRO-GRO'!$D$2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0.2864000000000026</c:v>
                </c:pt>
                <c:pt idx="3">
                  <c:v>0.5319999999999987</c:v>
                </c:pt>
                <c:pt idx="4">
                  <c:v>0.97319999999999762</c:v>
                </c:pt>
                <c:pt idx="5">
                  <c:v>0.65720000000000167</c:v>
                </c:pt>
                <c:pt idx="6">
                  <c:v>0.62679999999999791</c:v>
                </c:pt>
                <c:pt idx="7">
                  <c:v>0.34920000000000107</c:v>
                </c:pt>
                <c:pt idx="8">
                  <c:v>1.0491999999999981</c:v>
                </c:pt>
                <c:pt idx="9">
                  <c:v>0.88040000000000018</c:v>
                </c:pt>
                <c:pt idx="10">
                  <c:v>1.2255999999999989</c:v>
                </c:pt>
                <c:pt idx="11">
                  <c:v>0.72719999999999829</c:v>
                </c:pt>
                <c:pt idx="12">
                  <c:v>0.58000000000000218</c:v>
                </c:pt>
                <c:pt idx="13">
                  <c:v>0.59279999999999988</c:v>
                </c:pt>
                <c:pt idx="14">
                  <c:v>0.78079999999999861</c:v>
                </c:pt>
                <c:pt idx="15">
                  <c:v>0.84120000000000339</c:v>
                </c:pt>
                <c:pt idx="16">
                  <c:v>0.84599999999999931</c:v>
                </c:pt>
                <c:pt idx="17">
                  <c:v>0.86639999999999529</c:v>
                </c:pt>
                <c:pt idx="18">
                  <c:v>0.69000000000000639</c:v>
                </c:pt>
                <c:pt idx="19">
                  <c:v>0.81919999999999693</c:v>
                </c:pt>
                <c:pt idx="20">
                  <c:v>1.0019999999999998</c:v>
                </c:pt>
                <c:pt idx="21">
                  <c:v>0.87439999999999884</c:v>
                </c:pt>
                <c:pt idx="22">
                  <c:v>0.57599999999999818</c:v>
                </c:pt>
                <c:pt idx="23">
                  <c:v>0.83280000000000542</c:v>
                </c:pt>
                <c:pt idx="24">
                  <c:v>0.81999999999999773</c:v>
                </c:pt>
                <c:pt idx="25">
                  <c:v>0.68519999999999859</c:v>
                </c:pt>
                <c:pt idx="26">
                  <c:v>0.80160000000000164</c:v>
                </c:pt>
                <c:pt idx="27">
                  <c:v>1.0103999999999971</c:v>
                </c:pt>
                <c:pt idx="28">
                  <c:v>1.1988000000000041</c:v>
                </c:pt>
                <c:pt idx="29">
                  <c:v>0.71879999999999777</c:v>
                </c:pt>
                <c:pt idx="30">
                  <c:v>0.68640000000000057</c:v>
                </c:pt>
                <c:pt idx="31">
                  <c:v>0.85960000000000347</c:v>
                </c:pt>
                <c:pt idx="32">
                  <c:v>1.0631999999999939</c:v>
                </c:pt>
                <c:pt idx="33">
                  <c:v>0.80640000000000334</c:v>
                </c:pt>
                <c:pt idx="34">
                  <c:v>0.73479999999999601</c:v>
                </c:pt>
                <c:pt idx="35">
                  <c:v>0.68840000000000257</c:v>
                </c:pt>
                <c:pt idx="36">
                  <c:v>0.76160000000000272</c:v>
                </c:pt>
                <c:pt idx="37">
                  <c:v>0.6327999999999967</c:v>
                </c:pt>
                <c:pt idx="38">
                  <c:v>0.48280000000000273</c:v>
                </c:pt>
                <c:pt idx="39">
                  <c:v>0.67759999999999676</c:v>
                </c:pt>
                <c:pt idx="40">
                  <c:v>0.6604000000000011</c:v>
                </c:pt>
                <c:pt idx="41">
                  <c:v>0.83000000000000373</c:v>
                </c:pt>
                <c:pt idx="42">
                  <c:v>0.45359999999999712</c:v>
                </c:pt>
                <c:pt idx="43">
                  <c:v>1.0080000000000036</c:v>
                </c:pt>
                <c:pt idx="44">
                  <c:v>0.50959999999999739</c:v>
                </c:pt>
                <c:pt idx="45">
                  <c:v>0.34080000000000121</c:v>
                </c:pt>
                <c:pt idx="46">
                  <c:v>0.69400000000000261</c:v>
                </c:pt>
                <c:pt idx="47">
                  <c:v>0.43119999999999709</c:v>
                </c:pt>
                <c:pt idx="48">
                  <c:v>0.40800000000000203</c:v>
                </c:pt>
                <c:pt idx="49">
                  <c:v>0.59599999999999664</c:v>
                </c:pt>
                <c:pt idx="50">
                  <c:v>1.1820000000000039</c:v>
                </c:pt>
                <c:pt idx="51">
                  <c:v>0.13080000000000083</c:v>
                </c:pt>
                <c:pt idx="52">
                  <c:v>0.10239999999999917</c:v>
                </c:pt>
                <c:pt idx="53">
                  <c:v>0.31960000000000388</c:v>
                </c:pt>
                <c:pt idx="54">
                  <c:v>0.16679999999999939</c:v>
                </c:pt>
                <c:pt idx="55">
                  <c:v>0.12680000000000069</c:v>
                </c:pt>
                <c:pt idx="56">
                  <c:v>3.9999999999999265E-2</c:v>
                </c:pt>
                <c:pt idx="57">
                  <c:v>0.5224000000000022</c:v>
                </c:pt>
                <c:pt idx="58">
                  <c:v>0.39760000000000129</c:v>
                </c:pt>
                <c:pt idx="59">
                  <c:v>0.67999999999999639</c:v>
                </c:pt>
                <c:pt idx="60">
                  <c:v>4.3200000000000058E-2</c:v>
                </c:pt>
                <c:pt idx="61">
                  <c:v>2.4799999999999968E-2</c:v>
                </c:pt>
                <c:pt idx="62">
                  <c:v>8.5200000000000303E-2</c:v>
                </c:pt>
                <c:pt idx="63">
                  <c:v>3.2400000000000047E-2</c:v>
                </c:pt>
                <c:pt idx="64">
                  <c:v>5.1999999999999685E-2</c:v>
                </c:pt>
                <c:pt idx="65">
                  <c:v>2.9200000000000163E-2</c:v>
                </c:pt>
                <c:pt idx="66">
                  <c:v>3.4799999999999782E-2</c:v>
                </c:pt>
                <c:pt idx="67">
                  <c:v>6.9200000000000206E-2</c:v>
                </c:pt>
                <c:pt idx="68">
                  <c:v>5.2000000000000839E-3</c:v>
                </c:pt>
                <c:pt idx="69">
                  <c:v>8.7200000000000361E-2</c:v>
                </c:pt>
                <c:pt idx="70">
                  <c:v>9.5599999999998561E-2</c:v>
                </c:pt>
                <c:pt idx="71">
                  <c:v>0.6040000000000022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'GRO-GRO'!$A$1:$D$1</c:f>
              <c:strCache>
                <c:ptCount val="1"/>
                <c:pt idx="0">
                  <c:v>PrO-VAT, 1 Frame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0.2864000000000026</c:v>
                </c:pt>
                <c:pt idx="3">
                  <c:v>0.5319999999999987</c:v>
                </c:pt>
                <c:pt idx="4">
                  <c:v>0.97319999999999762</c:v>
                </c:pt>
                <c:pt idx="5">
                  <c:v>0.65720000000000167</c:v>
                </c:pt>
                <c:pt idx="6">
                  <c:v>0.62679999999999791</c:v>
                </c:pt>
                <c:pt idx="7">
                  <c:v>0.34920000000000107</c:v>
                </c:pt>
                <c:pt idx="8">
                  <c:v>1.0491999999999981</c:v>
                </c:pt>
                <c:pt idx="9">
                  <c:v>0.88040000000000018</c:v>
                </c:pt>
                <c:pt idx="10">
                  <c:v>1.2255999999999989</c:v>
                </c:pt>
                <c:pt idx="11">
                  <c:v>0.72719999999999829</c:v>
                </c:pt>
                <c:pt idx="12">
                  <c:v>0.58000000000000218</c:v>
                </c:pt>
                <c:pt idx="13">
                  <c:v>0.59279999999999988</c:v>
                </c:pt>
                <c:pt idx="14">
                  <c:v>0.78079999999999861</c:v>
                </c:pt>
                <c:pt idx="15">
                  <c:v>0.84120000000000339</c:v>
                </c:pt>
                <c:pt idx="16">
                  <c:v>0.84599999999999931</c:v>
                </c:pt>
                <c:pt idx="17">
                  <c:v>0.86639999999999529</c:v>
                </c:pt>
                <c:pt idx="18">
                  <c:v>0.69000000000000639</c:v>
                </c:pt>
                <c:pt idx="19">
                  <c:v>0.81919999999999693</c:v>
                </c:pt>
                <c:pt idx="20">
                  <c:v>1.0019999999999998</c:v>
                </c:pt>
                <c:pt idx="21">
                  <c:v>0.87439999999999884</c:v>
                </c:pt>
                <c:pt idx="22">
                  <c:v>0.57599999999999818</c:v>
                </c:pt>
                <c:pt idx="23">
                  <c:v>0.83280000000000542</c:v>
                </c:pt>
                <c:pt idx="24">
                  <c:v>0.81999999999999773</c:v>
                </c:pt>
                <c:pt idx="25">
                  <c:v>0.68519999999999859</c:v>
                </c:pt>
                <c:pt idx="26">
                  <c:v>0.80160000000000164</c:v>
                </c:pt>
                <c:pt idx="27">
                  <c:v>1.0103999999999971</c:v>
                </c:pt>
                <c:pt idx="28">
                  <c:v>1.1988000000000041</c:v>
                </c:pt>
                <c:pt idx="29">
                  <c:v>0.71879999999999777</c:v>
                </c:pt>
                <c:pt idx="30">
                  <c:v>0.68640000000000057</c:v>
                </c:pt>
                <c:pt idx="31">
                  <c:v>0.85960000000000347</c:v>
                </c:pt>
                <c:pt idx="32">
                  <c:v>1.0631999999999939</c:v>
                </c:pt>
                <c:pt idx="33">
                  <c:v>0.80640000000000334</c:v>
                </c:pt>
                <c:pt idx="34">
                  <c:v>0.73479999999999601</c:v>
                </c:pt>
                <c:pt idx="35">
                  <c:v>0.68840000000000257</c:v>
                </c:pt>
                <c:pt idx="36">
                  <c:v>0.76160000000000272</c:v>
                </c:pt>
                <c:pt idx="37">
                  <c:v>0.6327999999999967</c:v>
                </c:pt>
                <c:pt idx="38">
                  <c:v>0.48280000000000273</c:v>
                </c:pt>
                <c:pt idx="39">
                  <c:v>0.67759999999999676</c:v>
                </c:pt>
                <c:pt idx="40">
                  <c:v>0.6604000000000011</c:v>
                </c:pt>
                <c:pt idx="41">
                  <c:v>0.83000000000000373</c:v>
                </c:pt>
                <c:pt idx="42">
                  <c:v>0.45359999999999712</c:v>
                </c:pt>
                <c:pt idx="43">
                  <c:v>1.0080000000000036</c:v>
                </c:pt>
                <c:pt idx="44">
                  <c:v>0.50959999999999739</c:v>
                </c:pt>
                <c:pt idx="45">
                  <c:v>0.34080000000000121</c:v>
                </c:pt>
                <c:pt idx="46">
                  <c:v>0.69400000000000261</c:v>
                </c:pt>
                <c:pt idx="47">
                  <c:v>0.43119999999999709</c:v>
                </c:pt>
                <c:pt idx="48">
                  <c:v>0.40800000000000203</c:v>
                </c:pt>
                <c:pt idx="49">
                  <c:v>0.59599999999999664</c:v>
                </c:pt>
                <c:pt idx="50">
                  <c:v>1.1820000000000039</c:v>
                </c:pt>
                <c:pt idx="51">
                  <c:v>0.13080000000000083</c:v>
                </c:pt>
                <c:pt idx="52">
                  <c:v>0.10239999999999917</c:v>
                </c:pt>
                <c:pt idx="53">
                  <c:v>0.31960000000000388</c:v>
                </c:pt>
                <c:pt idx="54">
                  <c:v>0.16679999999999939</c:v>
                </c:pt>
                <c:pt idx="55">
                  <c:v>0.12680000000000069</c:v>
                </c:pt>
                <c:pt idx="56">
                  <c:v>3.9999999999999265E-2</c:v>
                </c:pt>
                <c:pt idx="57">
                  <c:v>0.5224000000000022</c:v>
                </c:pt>
                <c:pt idx="58">
                  <c:v>0.39760000000000129</c:v>
                </c:pt>
                <c:pt idx="59">
                  <c:v>0.67999999999999639</c:v>
                </c:pt>
                <c:pt idx="60">
                  <c:v>4.3200000000000058E-2</c:v>
                </c:pt>
                <c:pt idx="61">
                  <c:v>2.4799999999999968E-2</c:v>
                </c:pt>
                <c:pt idx="62">
                  <c:v>8.5200000000000303E-2</c:v>
                </c:pt>
                <c:pt idx="63">
                  <c:v>3.2400000000000047E-2</c:v>
                </c:pt>
                <c:pt idx="64">
                  <c:v>5.1999999999999685E-2</c:v>
                </c:pt>
                <c:pt idx="65">
                  <c:v>2.9200000000000163E-2</c:v>
                </c:pt>
                <c:pt idx="66">
                  <c:v>3.4799999999999782E-2</c:v>
                </c:pt>
                <c:pt idx="67">
                  <c:v>6.9200000000000206E-2</c:v>
                </c:pt>
                <c:pt idx="68">
                  <c:v>5.2000000000000839E-3</c:v>
                </c:pt>
                <c:pt idx="69">
                  <c:v>8.7200000000000361E-2</c:v>
                </c:pt>
                <c:pt idx="70">
                  <c:v>9.5599999999998561E-2</c:v>
                </c:pt>
                <c:pt idx="71">
                  <c:v>0.6040000000000022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A-41C6-8AA8-E303C2F40387}"/>
            </c:ext>
          </c:extLst>
        </c:ser>
        <c:ser>
          <c:idx val="1"/>
          <c:order val="1"/>
          <c:tx>
            <c:strRef>
              <c:f>'GRO-GRO'!$F$1:$I$1</c:f>
              <c:strCache>
                <c:ptCount val="1"/>
                <c:pt idx="0">
                  <c:v>PrO-VAT, 1 Frame, 8 (Random) Analyses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'GRO-GRO'!$G$3:$G$87</c:f>
              <c:numCache>
                <c:formatCode>General</c:formatCode>
                <c:ptCount val="85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'GRO-GRO'!$I$3:$I$87</c:f>
              <c:numCache>
                <c:formatCode>General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0.22240000000000068</c:v>
                </c:pt>
                <c:pt idx="3">
                  <c:v>0.64480000000000037</c:v>
                </c:pt>
                <c:pt idx="4">
                  <c:v>0.74240000000000017</c:v>
                </c:pt>
                <c:pt idx="5">
                  <c:v>0.81199999999999872</c:v>
                </c:pt>
                <c:pt idx="6">
                  <c:v>0.80439999999999778</c:v>
                </c:pt>
                <c:pt idx="7">
                  <c:v>0.84000000000000186</c:v>
                </c:pt>
                <c:pt idx="8">
                  <c:v>0.76119999999999899</c:v>
                </c:pt>
                <c:pt idx="9">
                  <c:v>0.80800000000000094</c:v>
                </c:pt>
                <c:pt idx="10">
                  <c:v>0.81240000000000134</c:v>
                </c:pt>
                <c:pt idx="11">
                  <c:v>0.77079999999999527</c:v>
                </c:pt>
                <c:pt idx="12">
                  <c:v>0.80360000000000142</c:v>
                </c:pt>
                <c:pt idx="13">
                  <c:v>0.82240000000000379</c:v>
                </c:pt>
                <c:pt idx="14">
                  <c:v>0.77159999999999607</c:v>
                </c:pt>
                <c:pt idx="15">
                  <c:v>0.72960000000000069</c:v>
                </c:pt>
                <c:pt idx="16">
                  <c:v>0.77079999999999971</c:v>
                </c:pt>
                <c:pt idx="17">
                  <c:v>0.74240000000000017</c:v>
                </c:pt>
                <c:pt idx="18">
                  <c:v>0.84000000000000374</c:v>
                </c:pt>
                <c:pt idx="19">
                  <c:v>0.75519999999999965</c:v>
                </c:pt>
                <c:pt idx="20">
                  <c:v>0.87319999999999987</c:v>
                </c:pt>
                <c:pt idx="21">
                  <c:v>0.80439999999999778</c:v>
                </c:pt>
                <c:pt idx="22">
                  <c:v>0.84439999999999771</c:v>
                </c:pt>
                <c:pt idx="23">
                  <c:v>0.88360000000000527</c:v>
                </c:pt>
                <c:pt idx="24">
                  <c:v>0.8775999999999976</c:v>
                </c:pt>
                <c:pt idx="25">
                  <c:v>0.85560000000000003</c:v>
                </c:pt>
                <c:pt idx="26">
                  <c:v>0.81039999999999712</c:v>
                </c:pt>
                <c:pt idx="27">
                  <c:v>0.84240000000000015</c:v>
                </c:pt>
                <c:pt idx="28">
                  <c:v>0.78520000000000423</c:v>
                </c:pt>
                <c:pt idx="29">
                  <c:v>1.0051999999999941</c:v>
                </c:pt>
                <c:pt idx="30">
                  <c:v>0.8432000000000025</c:v>
                </c:pt>
                <c:pt idx="31">
                  <c:v>0.85120000000000384</c:v>
                </c:pt>
                <c:pt idx="32">
                  <c:v>0.82719999999999461</c:v>
                </c:pt>
                <c:pt idx="33">
                  <c:v>0.7532000000000032</c:v>
                </c:pt>
                <c:pt idx="34">
                  <c:v>0.76399999999999613</c:v>
                </c:pt>
                <c:pt idx="35">
                  <c:v>0.68840000000000257</c:v>
                </c:pt>
                <c:pt idx="36">
                  <c:v>0.77360000000000151</c:v>
                </c:pt>
                <c:pt idx="37">
                  <c:v>0.70999999999999797</c:v>
                </c:pt>
                <c:pt idx="38">
                  <c:v>0.76720000000000177</c:v>
                </c:pt>
                <c:pt idx="39">
                  <c:v>0.431999999999999</c:v>
                </c:pt>
                <c:pt idx="40">
                  <c:v>0.61080000000000134</c:v>
                </c:pt>
                <c:pt idx="41">
                  <c:v>0.58560000000000156</c:v>
                </c:pt>
                <c:pt idx="42">
                  <c:v>0.621999999999997</c:v>
                </c:pt>
                <c:pt idx="43">
                  <c:v>0.91720000000000346</c:v>
                </c:pt>
                <c:pt idx="44">
                  <c:v>0.61959999999999682</c:v>
                </c:pt>
                <c:pt idx="45">
                  <c:v>0.49080000000000185</c:v>
                </c:pt>
                <c:pt idx="46">
                  <c:v>0.65200000000000158</c:v>
                </c:pt>
                <c:pt idx="47">
                  <c:v>0.44399999999999756</c:v>
                </c:pt>
                <c:pt idx="48">
                  <c:v>0.33280000000000204</c:v>
                </c:pt>
                <c:pt idx="49">
                  <c:v>0.57679999999999643</c:v>
                </c:pt>
                <c:pt idx="50">
                  <c:v>0.45320000000000132</c:v>
                </c:pt>
                <c:pt idx="51">
                  <c:v>0.63520000000000243</c:v>
                </c:pt>
                <c:pt idx="52">
                  <c:v>0.12799999999999909</c:v>
                </c:pt>
                <c:pt idx="53">
                  <c:v>0.33840000000000459</c:v>
                </c:pt>
                <c:pt idx="54">
                  <c:v>0.18879999999999908</c:v>
                </c:pt>
                <c:pt idx="55">
                  <c:v>0.3016000000000007</c:v>
                </c:pt>
                <c:pt idx="56">
                  <c:v>0.1731999999999991</c:v>
                </c:pt>
                <c:pt idx="57">
                  <c:v>0.29360000000000103</c:v>
                </c:pt>
                <c:pt idx="58">
                  <c:v>0.69960000000000266</c:v>
                </c:pt>
                <c:pt idx="59">
                  <c:v>0.34479999999999811</c:v>
                </c:pt>
                <c:pt idx="60">
                  <c:v>6.120000000000022E-2</c:v>
                </c:pt>
                <c:pt idx="61">
                  <c:v>3.6799999999999694E-2</c:v>
                </c:pt>
                <c:pt idx="62">
                  <c:v>3.6400000000000175E-2</c:v>
                </c:pt>
                <c:pt idx="63">
                  <c:v>9.2000000000000744E-3</c:v>
                </c:pt>
                <c:pt idx="64">
                  <c:v>4.5999999999999687E-2</c:v>
                </c:pt>
                <c:pt idx="65">
                  <c:v>5.0400000000000209E-2</c:v>
                </c:pt>
                <c:pt idx="66">
                  <c:v>6.9199999999999581E-2</c:v>
                </c:pt>
                <c:pt idx="67">
                  <c:v>3.4800000000000234E-2</c:v>
                </c:pt>
                <c:pt idx="68">
                  <c:v>8.6400000000000254E-2</c:v>
                </c:pt>
                <c:pt idx="69">
                  <c:v>0.10120000000000033</c:v>
                </c:pt>
                <c:pt idx="70">
                  <c:v>0.61439999999999129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4A-41C6-8AA8-E303C2F40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'GRO-GRO'!$A$1:$D$1</c:f>
              <c:strCache>
                <c:ptCount val="1"/>
                <c:pt idx="0">
                  <c:v>PrO-VAT, 1 Frame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0.2864000000000026</c:v>
                </c:pt>
                <c:pt idx="3">
                  <c:v>0.5319999999999987</c:v>
                </c:pt>
                <c:pt idx="4">
                  <c:v>0.97319999999999762</c:v>
                </c:pt>
                <c:pt idx="5">
                  <c:v>0.65720000000000167</c:v>
                </c:pt>
                <c:pt idx="6">
                  <c:v>0.62679999999999791</c:v>
                </c:pt>
                <c:pt idx="7">
                  <c:v>0.34920000000000107</c:v>
                </c:pt>
                <c:pt idx="8">
                  <c:v>1.0491999999999981</c:v>
                </c:pt>
                <c:pt idx="9">
                  <c:v>0.88040000000000018</c:v>
                </c:pt>
                <c:pt idx="10">
                  <c:v>1.2255999999999989</c:v>
                </c:pt>
                <c:pt idx="11">
                  <c:v>0.72719999999999829</c:v>
                </c:pt>
                <c:pt idx="12">
                  <c:v>0.58000000000000218</c:v>
                </c:pt>
                <c:pt idx="13">
                  <c:v>0.59279999999999988</c:v>
                </c:pt>
                <c:pt idx="14">
                  <c:v>0.78079999999999861</c:v>
                </c:pt>
                <c:pt idx="15">
                  <c:v>0.84120000000000339</c:v>
                </c:pt>
                <c:pt idx="16">
                  <c:v>0.84599999999999931</c:v>
                </c:pt>
                <c:pt idx="17">
                  <c:v>0.86639999999999529</c:v>
                </c:pt>
                <c:pt idx="18">
                  <c:v>0.69000000000000639</c:v>
                </c:pt>
                <c:pt idx="19">
                  <c:v>0.81919999999999693</c:v>
                </c:pt>
                <c:pt idx="20">
                  <c:v>1.0019999999999998</c:v>
                </c:pt>
                <c:pt idx="21">
                  <c:v>0.87439999999999884</c:v>
                </c:pt>
                <c:pt idx="22">
                  <c:v>0.57599999999999818</c:v>
                </c:pt>
                <c:pt idx="23">
                  <c:v>0.83280000000000542</c:v>
                </c:pt>
                <c:pt idx="24">
                  <c:v>0.81999999999999773</c:v>
                </c:pt>
                <c:pt idx="25">
                  <c:v>0.68519999999999859</c:v>
                </c:pt>
                <c:pt idx="26">
                  <c:v>0.80160000000000164</c:v>
                </c:pt>
                <c:pt idx="27">
                  <c:v>1.0103999999999971</c:v>
                </c:pt>
                <c:pt idx="28">
                  <c:v>1.1988000000000041</c:v>
                </c:pt>
                <c:pt idx="29">
                  <c:v>0.71879999999999777</c:v>
                </c:pt>
                <c:pt idx="30">
                  <c:v>0.68640000000000057</c:v>
                </c:pt>
                <c:pt idx="31">
                  <c:v>0.85960000000000347</c:v>
                </c:pt>
                <c:pt idx="32">
                  <c:v>1.0631999999999939</c:v>
                </c:pt>
                <c:pt idx="33">
                  <c:v>0.80640000000000334</c:v>
                </c:pt>
                <c:pt idx="34">
                  <c:v>0.73479999999999601</c:v>
                </c:pt>
                <c:pt idx="35">
                  <c:v>0.68840000000000257</c:v>
                </c:pt>
                <c:pt idx="36">
                  <c:v>0.76160000000000272</c:v>
                </c:pt>
                <c:pt idx="37">
                  <c:v>0.6327999999999967</c:v>
                </c:pt>
                <c:pt idx="38">
                  <c:v>0.48280000000000273</c:v>
                </c:pt>
                <c:pt idx="39">
                  <c:v>0.67759999999999676</c:v>
                </c:pt>
                <c:pt idx="40">
                  <c:v>0.6604000000000011</c:v>
                </c:pt>
                <c:pt idx="41">
                  <c:v>0.83000000000000373</c:v>
                </c:pt>
                <c:pt idx="42">
                  <c:v>0.45359999999999712</c:v>
                </c:pt>
                <c:pt idx="43">
                  <c:v>1.0080000000000036</c:v>
                </c:pt>
                <c:pt idx="44">
                  <c:v>0.50959999999999739</c:v>
                </c:pt>
                <c:pt idx="45">
                  <c:v>0.34080000000000121</c:v>
                </c:pt>
                <c:pt idx="46">
                  <c:v>0.69400000000000261</c:v>
                </c:pt>
                <c:pt idx="47">
                  <c:v>0.43119999999999709</c:v>
                </c:pt>
                <c:pt idx="48">
                  <c:v>0.40800000000000203</c:v>
                </c:pt>
                <c:pt idx="49">
                  <c:v>0.59599999999999664</c:v>
                </c:pt>
                <c:pt idx="50">
                  <c:v>1.1820000000000039</c:v>
                </c:pt>
                <c:pt idx="51">
                  <c:v>0.13080000000000083</c:v>
                </c:pt>
                <c:pt idx="52">
                  <c:v>0.10239999999999917</c:v>
                </c:pt>
                <c:pt idx="53">
                  <c:v>0.31960000000000388</c:v>
                </c:pt>
                <c:pt idx="54">
                  <c:v>0.16679999999999939</c:v>
                </c:pt>
                <c:pt idx="55">
                  <c:v>0.12680000000000069</c:v>
                </c:pt>
                <c:pt idx="56">
                  <c:v>3.9999999999999265E-2</c:v>
                </c:pt>
                <c:pt idx="57">
                  <c:v>0.5224000000000022</c:v>
                </c:pt>
                <c:pt idx="58">
                  <c:v>0.39760000000000129</c:v>
                </c:pt>
                <c:pt idx="59">
                  <c:v>0.67999999999999639</c:v>
                </c:pt>
                <c:pt idx="60">
                  <c:v>4.3200000000000058E-2</c:v>
                </c:pt>
                <c:pt idx="61">
                  <c:v>2.4799999999999968E-2</c:v>
                </c:pt>
                <c:pt idx="62">
                  <c:v>8.5200000000000303E-2</c:v>
                </c:pt>
                <c:pt idx="63">
                  <c:v>3.2400000000000047E-2</c:v>
                </c:pt>
                <c:pt idx="64">
                  <c:v>5.1999999999999685E-2</c:v>
                </c:pt>
                <c:pt idx="65">
                  <c:v>2.9200000000000163E-2</c:v>
                </c:pt>
                <c:pt idx="66">
                  <c:v>3.4799999999999782E-2</c:v>
                </c:pt>
                <c:pt idx="67">
                  <c:v>6.9200000000000206E-2</c:v>
                </c:pt>
                <c:pt idx="68">
                  <c:v>5.2000000000000839E-3</c:v>
                </c:pt>
                <c:pt idx="69">
                  <c:v>8.7200000000000361E-2</c:v>
                </c:pt>
                <c:pt idx="70">
                  <c:v>9.5599999999998561E-2</c:v>
                </c:pt>
                <c:pt idx="71">
                  <c:v>0.6040000000000022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F-4CE0-9A51-49336817A035}"/>
            </c:ext>
          </c:extLst>
        </c:ser>
        <c:ser>
          <c:idx val="1"/>
          <c:order val="1"/>
          <c:tx>
            <c:strRef>
              <c:f>'GRO-GRO'!$F$1:$I$1</c:f>
              <c:strCache>
                <c:ptCount val="1"/>
                <c:pt idx="0">
                  <c:v>PrO-VAT, 1 Frame, 8 (Random) Analyses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'GRO-GRO'!$L$3:$L$87</c:f>
              <c:numCache>
                <c:formatCode>General</c:formatCode>
                <c:ptCount val="8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</c:numCache>
            </c:numRef>
          </c:xVal>
          <c:yVal>
            <c:numRef>
              <c:f>'GRO-GRO'!$N$3:$N$87</c:f>
              <c:numCache>
                <c:formatCode>General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6.3160000000017664E-3</c:v>
                </c:pt>
                <c:pt idx="10">
                  <c:v>6.3160000000017664E-3</c:v>
                </c:pt>
                <c:pt idx="11">
                  <c:v>5.0535999999996542E-2</c:v>
                </c:pt>
                <c:pt idx="12">
                  <c:v>0.18951200000000082</c:v>
                </c:pt>
                <c:pt idx="13">
                  <c:v>0.65066400000000024</c:v>
                </c:pt>
                <c:pt idx="14">
                  <c:v>0.70120000000000271</c:v>
                </c:pt>
                <c:pt idx="15">
                  <c:v>1.0360079999999963</c:v>
                </c:pt>
                <c:pt idx="16">
                  <c:v>0.71383600000000258</c:v>
                </c:pt>
                <c:pt idx="17">
                  <c:v>0.70119999999999827</c:v>
                </c:pt>
                <c:pt idx="18">
                  <c:v>0.2779560000000012</c:v>
                </c:pt>
                <c:pt idx="19">
                  <c:v>1.1054920000000006</c:v>
                </c:pt>
                <c:pt idx="20">
                  <c:v>0.94125200000000042</c:v>
                </c:pt>
                <c:pt idx="21">
                  <c:v>1.1118119999999978</c:v>
                </c:pt>
                <c:pt idx="22">
                  <c:v>0.63171200000000149</c:v>
                </c:pt>
                <c:pt idx="23">
                  <c:v>0.62539600000000251</c:v>
                </c:pt>
                <c:pt idx="24">
                  <c:v>0.60012799999999922</c:v>
                </c:pt>
                <c:pt idx="25">
                  <c:v>0.68856399999999973</c:v>
                </c:pt>
                <c:pt idx="26">
                  <c:v>0.795955999999997</c:v>
                </c:pt>
                <c:pt idx="27">
                  <c:v>0.89071599999999951</c:v>
                </c:pt>
                <c:pt idx="28">
                  <c:v>0.73278400000000221</c:v>
                </c:pt>
                <c:pt idx="29">
                  <c:v>0.70120000000000116</c:v>
                </c:pt>
                <c:pt idx="30">
                  <c:v>0.82754399999999706</c:v>
                </c:pt>
                <c:pt idx="31">
                  <c:v>1.029688000000001</c:v>
                </c:pt>
                <c:pt idx="32">
                  <c:v>0.87808399999999598</c:v>
                </c:pt>
                <c:pt idx="33">
                  <c:v>0.56222000000000194</c:v>
                </c:pt>
                <c:pt idx="34">
                  <c:v>0.91598400000000002</c:v>
                </c:pt>
                <c:pt idx="35">
                  <c:v>0.73910000000000076</c:v>
                </c:pt>
                <c:pt idx="36">
                  <c:v>0.69488799999999729</c:v>
                </c:pt>
                <c:pt idx="37">
                  <c:v>0.67592800000000286</c:v>
                </c:pt>
                <c:pt idx="38">
                  <c:v>0.89071600000000128</c:v>
                </c:pt>
                <c:pt idx="39">
                  <c:v>1.1433959999999999</c:v>
                </c:pt>
                <c:pt idx="40">
                  <c:v>0.7201519999999999</c:v>
                </c:pt>
                <c:pt idx="41">
                  <c:v>0.76437200000000249</c:v>
                </c:pt>
                <c:pt idx="42">
                  <c:v>0.865443999999995</c:v>
                </c:pt>
                <c:pt idx="43">
                  <c:v>1.0423240000000027</c:v>
                </c:pt>
                <c:pt idx="44">
                  <c:v>0.75805599999999629</c:v>
                </c:pt>
                <c:pt idx="45">
                  <c:v>0.78964000000000312</c:v>
                </c:pt>
                <c:pt idx="46">
                  <c:v>0.6948840000000025</c:v>
                </c:pt>
                <c:pt idx="47">
                  <c:v>0.8780799999999942</c:v>
                </c:pt>
                <c:pt idx="48">
                  <c:v>0.53063600000000399</c:v>
                </c:pt>
                <c:pt idx="49">
                  <c:v>0.45483599999999602</c:v>
                </c:pt>
                <c:pt idx="50">
                  <c:v>0.6822480000000033</c:v>
                </c:pt>
                <c:pt idx="51">
                  <c:v>0.62539200000000128</c:v>
                </c:pt>
                <c:pt idx="52">
                  <c:v>0.77068799999999638</c:v>
                </c:pt>
                <c:pt idx="53">
                  <c:v>0.42956800000000167</c:v>
                </c:pt>
                <c:pt idx="54">
                  <c:v>0.87175999999999565</c:v>
                </c:pt>
                <c:pt idx="55">
                  <c:v>0.52432000000000112</c:v>
                </c:pt>
                <c:pt idx="56">
                  <c:v>0.39166400000000184</c:v>
                </c:pt>
                <c:pt idx="57">
                  <c:v>0.62539199999999684</c:v>
                </c:pt>
                <c:pt idx="58">
                  <c:v>0.38534400000000107</c:v>
                </c:pt>
                <c:pt idx="59">
                  <c:v>0.40429599999999738</c:v>
                </c:pt>
                <c:pt idx="60">
                  <c:v>0.55590800000000251</c:v>
                </c:pt>
                <c:pt idx="61">
                  <c:v>1.2444724400000045</c:v>
                </c:pt>
                <c:pt idx="62">
                  <c:v>0.15792787999999919</c:v>
                </c:pt>
                <c:pt idx="63">
                  <c:v>0.14529380000000033</c:v>
                </c:pt>
                <c:pt idx="64">
                  <c:v>0.32849039999999818</c:v>
                </c:pt>
                <c:pt idx="65">
                  <c:v>0.18951360000000095</c:v>
                </c:pt>
                <c:pt idx="66">
                  <c:v>0.12002524000000002</c:v>
                </c:pt>
                <c:pt idx="67">
                  <c:v>6.3171119999999803E-2</c:v>
                </c:pt>
                <c:pt idx="68">
                  <c:v>0.46114964000000175</c:v>
                </c:pt>
                <c:pt idx="69">
                  <c:v>0.29690459999999841</c:v>
                </c:pt>
                <c:pt idx="70">
                  <c:v>0.61907768000000218</c:v>
                </c:pt>
                <c:pt idx="71">
                  <c:v>4.421980000000008E-2</c:v>
                </c:pt>
                <c:pt idx="72">
                  <c:v>1.8951359999999955E-2</c:v>
                </c:pt>
                <c:pt idx="73">
                  <c:v>6.3171240000000156E-2</c:v>
                </c:pt>
                <c:pt idx="74">
                  <c:v>2.5268439999999868E-2</c:v>
                </c:pt>
                <c:pt idx="75">
                  <c:v>6.3171240000000295E-2</c:v>
                </c:pt>
                <c:pt idx="76">
                  <c:v>2.5268399999999976E-2</c:v>
                </c:pt>
                <c:pt idx="77">
                  <c:v>5.0536999999999811E-2</c:v>
                </c:pt>
                <c:pt idx="78">
                  <c:v>6.3171160000000198E-2</c:v>
                </c:pt>
                <c:pt idx="79">
                  <c:v>0</c:v>
                </c:pt>
                <c:pt idx="80">
                  <c:v>5.6854120000000209E-2</c:v>
                </c:pt>
                <c:pt idx="81">
                  <c:v>4.4219800000000219E-2</c:v>
                </c:pt>
                <c:pt idx="82">
                  <c:v>0.63802904000000216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BF-4CE0-9A51-49336817A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'XTC-TPR'!$C$2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'XTC-TPR'!$B$3:$B$76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'XTC-TPR'!$C$3:$C$76</c:f>
              <c:numCache>
                <c:formatCode>General</c:formatCode>
                <c:ptCount val="74"/>
                <c:pt idx="0">
                  <c:v>1</c:v>
                </c:pt>
                <c:pt idx="1">
                  <c:v>1</c:v>
                </c:pt>
                <c:pt idx="2">
                  <c:v>0.99458999999999997</c:v>
                </c:pt>
                <c:pt idx="3">
                  <c:v>0.97867999999999999</c:v>
                </c:pt>
                <c:pt idx="4">
                  <c:v>0.96057000000000003</c:v>
                </c:pt>
                <c:pt idx="5">
                  <c:v>0.94106999999999996</c:v>
                </c:pt>
                <c:pt idx="6">
                  <c:v>0.92081000000000002</c:v>
                </c:pt>
                <c:pt idx="7">
                  <c:v>0.90036000000000005</c:v>
                </c:pt>
                <c:pt idx="8">
                  <c:v>0.87960000000000005</c:v>
                </c:pt>
                <c:pt idx="9">
                  <c:v>0.85873999999999995</c:v>
                </c:pt>
                <c:pt idx="10">
                  <c:v>0.83789999999999998</c:v>
                </c:pt>
                <c:pt idx="11">
                  <c:v>0.81620000000000004</c:v>
                </c:pt>
                <c:pt idx="12">
                  <c:v>0.79430999999999996</c:v>
                </c:pt>
                <c:pt idx="13">
                  <c:v>0.77329000000000003</c:v>
                </c:pt>
                <c:pt idx="14">
                  <c:v>0.75244999999999995</c:v>
                </c:pt>
                <c:pt idx="15">
                  <c:v>0.73068</c:v>
                </c:pt>
                <c:pt idx="16">
                  <c:v>0.70828000000000002</c:v>
                </c:pt>
                <c:pt idx="17">
                  <c:v>0.68652999999999997</c:v>
                </c:pt>
                <c:pt idx="18">
                  <c:v>0.66439999999999999</c:v>
                </c:pt>
                <c:pt idx="19">
                  <c:v>0.64183999999999997</c:v>
                </c:pt>
                <c:pt idx="20">
                  <c:v>0.61999000000000004</c:v>
                </c:pt>
                <c:pt idx="21">
                  <c:v>0.59782999999999997</c:v>
                </c:pt>
                <c:pt idx="22">
                  <c:v>0.57533999999999996</c:v>
                </c:pt>
                <c:pt idx="23">
                  <c:v>0.55220000000000002</c:v>
                </c:pt>
                <c:pt idx="24">
                  <c:v>0.53008999999999995</c:v>
                </c:pt>
                <c:pt idx="25">
                  <c:v>0.50912999999999997</c:v>
                </c:pt>
                <c:pt idx="26">
                  <c:v>0.48691000000000001</c:v>
                </c:pt>
                <c:pt idx="27">
                  <c:v>0.46562999999999999</c:v>
                </c:pt>
                <c:pt idx="28">
                  <c:v>0.44438</c:v>
                </c:pt>
                <c:pt idx="29">
                  <c:v>0.42377999999999999</c:v>
                </c:pt>
                <c:pt idx="30">
                  <c:v>0.40337000000000001</c:v>
                </c:pt>
                <c:pt idx="31">
                  <c:v>0.38228000000000001</c:v>
                </c:pt>
                <c:pt idx="32">
                  <c:v>0.36359999999999998</c:v>
                </c:pt>
                <c:pt idx="33">
                  <c:v>0.34447</c:v>
                </c:pt>
                <c:pt idx="34">
                  <c:v>0.32571</c:v>
                </c:pt>
                <c:pt idx="35">
                  <c:v>0.30769999999999997</c:v>
                </c:pt>
                <c:pt idx="36">
                  <c:v>0.29013</c:v>
                </c:pt>
                <c:pt idx="37">
                  <c:v>0.27145999999999998</c:v>
                </c:pt>
                <c:pt idx="38">
                  <c:v>0.25273000000000001</c:v>
                </c:pt>
                <c:pt idx="39">
                  <c:v>0.23733000000000001</c:v>
                </c:pt>
                <c:pt idx="40">
                  <c:v>0.22248999999999999</c:v>
                </c:pt>
                <c:pt idx="41">
                  <c:v>0.20765</c:v>
                </c:pt>
                <c:pt idx="42">
                  <c:v>0.19286</c:v>
                </c:pt>
                <c:pt idx="43">
                  <c:v>0.17979999999999999</c:v>
                </c:pt>
                <c:pt idx="44">
                  <c:v>0.16800000000000001</c:v>
                </c:pt>
                <c:pt idx="45">
                  <c:v>0.15620999999999999</c:v>
                </c:pt>
                <c:pt idx="46">
                  <c:v>0.14399999999999999</c:v>
                </c:pt>
                <c:pt idx="47">
                  <c:v>0.13511999999999999</c:v>
                </c:pt>
                <c:pt idx="48">
                  <c:v>0.12418999999999999</c:v>
                </c:pt>
                <c:pt idx="49">
                  <c:v>0.11550000000000001</c:v>
                </c:pt>
                <c:pt idx="50">
                  <c:v>0.10788</c:v>
                </c:pt>
                <c:pt idx="51">
                  <c:v>9.9580000000000002E-2</c:v>
                </c:pt>
                <c:pt idx="52">
                  <c:v>9.0980000000000005E-2</c:v>
                </c:pt>
                <c:pt idx="53">
                  <c:v>8.4669999999999995E-2</c:v>
                </c:pt>
                <c:pt idx="54">
                  <c:v>7.6259999999999994E-2</c:v>
                </c:pt>
                <c:pt idx="55">
                  <c:v>6.7750000000000005E-2</c:v>
                </c:pt>
                <c:pt idx="56">
                  <c:v>6.021E-2</c:v>
                </c:pt>
                <c:pt idx="57">
                  <c:v>5.4120000000000001E-2</c:v>
                </c:pt>
                <c:pt idx="58">
                  <c:v>4.6339999999999999E-2</c:v>
                </c:pt>
                <c:pt idx="59">
                  <c:v>3.9129999999999998E-2</c:v>
                </c:pt>
                <c:pt idx="60">
                  <c:v>3.3599999999999998E-2</c:v>
                </c:pt>
                <c:pt idx="61">
                  <c:v>2.6270000000000002E-2</c:v>
                </c:pt>
                <c:pt idx="62">
                  <c:v>2.2790000000000001E-2</c:v>
                </c:pt>
                <c:pt idx="63">
                  <c:v>1.753E-2</c:v>
                </c:pt>
                <c:pt idx="64">
                  <c:v>1.3129999999999999E-2</c:v>
                </c:pt>
                <c:pt idx="65">
                  <c:v>8.6700000000000006E-3</c:v>
                </c:pt>
                <c:pt idx="66">
                  <c:v>5.2399999999999999E-3</c:v>
                </c:pt>
                <c:pt idx="67">
                  <c:v>4.2100000000000002E-3</c:v>
                </c:pt>
                <c:pt idx="68">
                  <c:v>2.8700000000000002E-3</c:v>
                </c:pt>
                <c:pt idx="69">
                  <c:v>1.6800000000000001E-3</c:v>
                </c:pt>
                <c:pt idx="70">
                  <c:v>1.2800000000000001E-3</c:v>
                </c:pt>
                <c:pt idx="71">
                  <c:v>6.4000000000000005E-4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E-46E8-82EB-F59293502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'XTC-TPR'!$D$2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'XTC-TPR'!$B$3:$B$76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'XTC-TPR'!$D$3:$D$76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0.21640000000000131</c:v>
                </c:pt>
                <c:pt idx="3">
                  <c:v>0.63639999999999863</c:v>
                </c:pt>
                <c:pt idx="4">
                  <c:v>0.72439999999999771</c:v>
                </c:pt>
                <c:pt idx="5">
                  <c:v>0.78000000000000225</c:v>
                </c:pt>
                <c:pt idx="6">
                  <c:v>0.81039999999999712</c:v>
                </c:pt>
                <c:pt idx="7">
                  <c:v>0.81799999999999984</c:v>
                </c:pt>
                <c:pt idx="8">
                  <c:v>0.83039999999999925</c:v>
                </c:pt>
                <c:pt idx="9">
                  <c:v>0.83440000000000514</c:v>
                </c:pt>
                <c:pt idx="10">
                  <c:v>0.83359999999999801</c:v>
                </c:pt>
                <c:pt idx="11">
                  <c:v>0.86799999999999689</c:v>
                </c:pt>
                <c:pt idx="12">
                  <c:v>0.87560000000000227</c:v>
                </c:pt>
                <c:pt idx="13">
                  <c:v>0.8408000000000001</c:v>
                </c:pt>
                <c:pt idx="14">
                  <c:v>0.83360000000000245</c:v>
                </c:pt>
                <c:pt idx="15">
                  <c:v>0.87079999999999746</c:v>
                </c:pt>
                <c:pt idx="16">
                  <c:v>0.89599999999999824</c:v>
                </c:pt>
                <c:pt idx="17">
                  <c:v>0.87000000000000111</c:v>
                </c:pt>
                <c:pt idx="18">
                  <c:v>0.88520000000000243</c:v>
                </c:pt>
                <c:pt idx="19">
                  <c:v>0.9024000000000002</c:v>
                </c:pt>
                <c:pt idx="20">
                  <c:v>0.87399999999999622</c:v>
                </c:pt>
                <c:pt idx="21">
                  <c:v>0.88640000000000196</c:v>
                </c:pt>
                <c:pt idx="22">
                  <c:v>0.89959999999999962</c:v>
                </c:pt>
                <c:pt idx="23">
                  <c:v>0.92560000000000087</c:v>
                </c:pt>
                <c:pt idx="24">
                  <c:v>0.88440000000000218</c:v>
                </c:pt>
                <c:pt idx="25">
                  <c:v>0.83839999999999837</c:v>
                </c:pt>
                <c:pt idx="26">
                  <c:v>0.8887999999999977</c:v>
                </c:pt>
                <c:pt idx="27">
                  <c:v>0.85120000000000007</c:v>
                </c:pt>
                <c:pt idx="28">
                  <c:v>0.85000000000000264</c:v>
                </c:pt>
                <c:pt idx="29">
                  <c:v>0.82399999999999585</c:v>
                </c:pt>
                <c:pt idx="30">
                  <c:v>0.81640000000000224</c:v>
                </c:pt>
                <c:pt idx="31">
                  <c:v>0.8436000000000029</c:v>
                </c:pt>
                <c:pt idx="32">
                  <c:v>0.7471999999999972</c:v>
                </c:pt>
                <c:pt idx="33">
                  <c:v>0.76520000000000188</c:v>
                </c:pt>
                <c:pt idx="34">
                  <c:v>0.75039999999999596</c:v>
                </c:pt>
                <c:pt idx="35">
                  <c:v>0.72040000000000359</c:v>
                </c:pt>
                <c:pt idx="36">
                  <c:v>0.70280000000000142</c:v>
                </c:pt>
                <c:pt idx="37">
                  <c:v>0.7467999999999968</c:v>
                </c:pt>
                <c:pt idx="38">
                  <c:v>0.74920000000000142</c:v>
                </c:pt>
                <c:pt idx="39">
                  <c:v>0.61599999999999655</c:v>
                </c:pt>
                <c:pt idx="40">
                  <c:v>0.5936000000000029</c:v>
                </c:pt>
                <c:pt idx="41">
                  <c:v>0.59360000000000179</c:v>
                </c:pt>
                <c:pt idx="42">
                  <c:v>0.5915999999999968</c:v>
                </c:pt>
                <c:pt idx="43">
                  <c:v>0.52240000000000253</c:v>
                </c:pt>
                <c:pt idx="44">
                  <c:v>0.47199999999999659</c:v>
                </c:pt>
                <c:pt idx="45">
                  <c:v>0.47160000000000257</c:v>
                </c:pt>
                <c:pt idx="46">
                  <c:v>0.48840000000000167</c:v>
                </c:pt>
                <c:pt idx="47">
                  <c:v>0.35519999999999807</c:v>
                </c:pt>
                <c:pt idx="48">
                  <c:v>0.43720000000000137</c:v>
                </c:pt>
                <c:pt idx="49">
                  <c:v>0.34759999999999774</c:v>
                </c:pt>
                <c:pt idx="50">
                  <c:v>0.30480000000000118</c:v>
                </c:pt>
                <c:pt idx="51">
                  <c:v>0.33200000000000124</c:v>
                </c:pt>
                <c:pt idx="52">
                  <c:v>0.34399999999999803</c:v>
                </c:pt>
                <c:pt idx="53">
                  <c:v>0.25240000000000357</c:v>
                </c:pt>
                <c:pt idx="54">
                  <c:v>0.33639999999999826</c:v>
                </c:pt>
                <c:pt idx="55">
                  <c:v>0.34040000000000081</c:v>
                </c:pt>
                <c:pt idx="56">
                  <c:v>0.30159999999999859</c:v>
                </c:pt>
                <c:pt idx="57">
                  <c:v>0.24360000000000079</c:v>
                </c:pt>
                <c:pt idx="58">
                  <c:v>0.3112000000000012</c:v>
                </c:pt>
                <c:pt idx="59">
                  <c:v>0.28839999999999849</c:v>
                </c:pt>
                <c:pt idx="60">
                  <c:v>0.22120000000000078</c:v>
                </c:pt>
                <c:pt idx="61">
                  <c:v>0.2931999999999983</c:v>
                </c:pt>
                <c:pt idx="62">
                  <c:v>0.13920000000000052</c:v>
                </c:pt>
                <c:pt idx="63">
                  <c:v>0.21040000000000078</c:v>
                </c:pt>
                <c:pt idx="64">
                  <c:v>0.1759999999999991</c:v>
                </c:pt>
                <c:pt idx="65">
                  <c:v>0.17840000000000059</c:v>
                </c:pt>
                <c:pt idx="66">
                  <c:v>0.13719999999999929</c:v>
                </c:pt>
                <c:pt idx="67">
                  <c:v>4.1200000000000132E-2</c:v>
                </c:pt>
                <c:pt idx="68">
                  <c:v>5.3600000000000189E-2</c:v>
                </c:pt>
                <c:pt idx="69">
                  <c:v>4.760000000000017E-2</c:v>
                </c:pt>
                <c:pt idx="70">
                  <c:v>1.5999999999999771E-2</c:v>
                </c:pt>
                <c:pt idx="71">
                  <c:v>2.5600000000000091E-2</c:v>
                </c:pt>
                <c:pt idx="72">
                  <c:v>2.5600000000000091E-2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E-46E8-82EB-F59293502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'XTC-TPR'!$A$1:$D$1</c:f>
              <c:strCache>
                <c:ptCount val="1"/>
                <c:pt idx="0">
                  <c:v>PrO-VAT, 24 Frames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'XTC-TPR'!$B$3:$B$76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'XTC-TPR'!$D$3:$D$76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0.21640000000000131</c:v>
                </c:pt>
                <c:pt idx="3">
                  <c:v>0.63639999999999863</c:v>
                </c:pt>
                <c:pt idx="4">
                  <c:v>0.72439999999999771</c:v>
                </c:pt>
                <c:pt idx="5">
                  <c:v>0.78000000000000225</c:v>
                </c:pt>
                <c:pt idx="6">
                  <c:v>0.81039999999999712</c:v>
                </c:pt>
                <c:pt idx="7">
                  <c:v>0.81799999999999984</c:v>
                </c:pt>
                <c:pt idx="8">
                  <c:v>0.83039999999999925</c:v>
                </c:pt>
                <c:pt idx="9">
                  <c:v>0.83440000000000514</c:v>
                </c:pt>
                <c:pt idx="10">
                  <c:v>0.83359999999999801</c:v>
                </c:pt>
                <c:pt idx="11">
                  <c:v>0.86799999999999689</c:v>
                </c:pt>
                <c:pt idx="12">
                  <c:v>0.87560000000000227</c:v>
                </c:pt>
                <c:pt idx="13">
                  <c:v>0.8408000000000001</c:v>
                </c:pt>
                <c:pt idx="14">
                  <c:v>0.83360000000000245</c:v>
                </c:pt>
                <c:pt idx="15">
                  <c:v>0.87079999999999746</c:v>
                </c:pt>
                <c:pt idx="16">
                  <c:v>0.89599999999999824</c:v>
                </c:pt>
                <c:pt idx="17">
                  <c:v>0.87000000000000111</c:v>
                </c:pt>
                <c:pt idx="18">
                  <c:v>0.88520000000000243</c:v>
                </c:pt>
                <c:pt idx="19">
                  <c:v>0.9024000000000002</c:v>
                </c:pt>
                <c:pt idx="20">
                  <c:v>0.87399999999999622</c:v>
                </c:pt>
                <c:pt idx="21">
                  <c:v>0.88640000000000196</c:v>
                </c:pt>
                <c:pt idx="22">
                  <c:v>0.89959999999999962</c:v>
                </c:pt>
                <c:pt idx="23">
                  <c:v>0.92560000000000087</c:v>
                </c:pt>
                <c:pt idx="24">
                  <c:v>0.88440000000000218</c:v>
                </c:pt>
                <c:pt idx="25">
                  <c:v>0.83839999999999837</c:v>
                </c:pt>
                <c:pt idx="26">
                  <c:v>0.8887999999999977</c:v>
                </c:pt>
                <c:pt idx="27">
                  <c:v>0.85120000000000007</c:v>
                </c:pt>
                <c:pt idx="28">
                  <c:v>0.85000000000000264</c:v>
                </c:pt>
                <c:pt idx="29">
                  <c:v>0.82399999999999585</c:v>
                </c:pt>
                <c:pt idx="30">
                  <c:v>0.81640000000000224</c:v>
                </c:pt>
                <c:pt idx="31">
                  <c:v>0.8436000000000029</c:v>
                </c:pt>
                <c:pt idx="32">
                  <c:v>0.7471999999999972</c:v>
                </c:pt>
                <c:pt idx="33">
                  <c:v>0.76520000000000188</c:v>
                </c:pt>
                <c:pt idx="34">
                  <c:v>0.75039999999999596</c:v>
                </c:pt>
                <c:pt idx="35">
                  <c:v>0.72040000000000359</c:v>
                </c:pt>
                <c:pt idx="36">
                  <c:v>0.70280000000000142</c:v>
                </c:pt>
                <c:pt idx="37">
                  <c:v>0.7467999999999968</c:v>
                </c:pt>
                <c:pt idx="38">
                  <c:v>0.74920000000000142</c:v>
                </c:pt>
                <c:pt idx="39">
                  <c:v>0.61599999999999655</c:v>
                </c:pt>
                <c:pt idx="40">
                  <c:v>0.5936000000000029</c:v>
                </c:pt>
                <c:pt idx="41">
                  <c:v>0.59360000000000179</c:v>
                </c:pt>
                <c:pt idx="42">
                  <c:v>0.5915999999999968</c:v>
                </c:pt>
                <c:pt idx="43">
                  <c:v>0.52240000000000253</c:v>
                </c:pt>
                <c:pt idx="44">
                  <c:v>0.47199999999999659</c:v>
                </c:pt>
                <c:pt idx="45">
                  <c:v>0.47160000000000257</c:v>
                </c:pt>
                <c:pt idx="46">
                  <c:v>0.48840000000000167</c:v>
                </c:pt>
                <c:pt idx="47">
                  <c:v>0.35519999999999807</c:v>
                </c:pt>
                <c:pt idx="48">
                  <c:v>0.43720000000000137</c:v>
                </c:pt>
                <c:pt idx="49">
                  <c:v>0.34759999999999774</c:v>
                </c:pt>
                <c:pt idx="50">
                  <c:v>0.30480000000000118</c:v>
                </c:pt>
                <c:pt idx="51">
                  <c:v>0.33200000000000124</c:v>
                </c:pt>
                <c:pt idx="52">
                  <c:v>0.34399999999999803</c:v>
                </c:pt>
                <c:pt idx="53">
                  <c:v>0.25240000000000357</c:v>
                </c:pt>
                <c:pt idx="54">
                  <c:v>0.33639999999999826</c:v>
                </c:pt>
                <c:pt idx="55">
                  <c:v>0.34040000000000081</c:v>
                </c:pt>
                <c:pt idx="56">
                  <c:v>0.30159999999999859</c:v>
                </c:pt>
                <c:pt idx="57">
                  <c:v>0.24360000000000079</c:v>
                </c:pt>
                <c:pt idx="58">
                  <c:v>0.3112000000000012</c:v>
                </c:pt>
                <c:pt idx="59">
                  <c:v>0.28839999999999849</c:v>
                </c:pt>
                <c:pt idx="60">
                  <c:v>0.22120000000000078</c:v>
                </c:pt>
                <c:pt idx="61">
                  <c:v>0.2931999999999983</c:v>
                </c:pt>
                <c:pt idx="62">
                  <c:v>0.13920000000000052</c:v>
                </c:pt>
                <c:pt idx="63">
                  <c:v>0.21040000000000078</c:v>
                </c:pt>
                <c:pt idx="64">
                  <c:v>0.1759999999999991</c:v>
                </c:pt>
                <c:pt idx="65">
                  <c:v>0.17840000000000059</c:v>
                </c:pt>
                <c:pt idx="66">
                  <c:v>0.13719999999999929</c:v>
                </c:pt>
                <c:pt idx="67">
                  <c:v>4.1200000000000132E-2</c:v>
                </c:pt>
                <c:pt idx="68">
                  <c:v>5.3600000000000189E-2</c:v>
                </c:pt>
                <c:pt idx="69">
                  <c:v>4.760000000000017E-2</c:v>
                </c:pt>
                <c:pt idx="70">
                  <c:v>1.5999999999999771E-2</c:v>
                </c:pt>
                <c:pt idx="71">
                  <c:v>2.5600000000000091E-2</c:v>
                </c:pt>
                <c:pt idx="72">
                  <c:v>2.5600000000000091E-2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3-4301-8049-61C2E766669A}"/>
            </c:ext>
          </c:extLst>
        </c:ser>
        <c:ser>
          <c:idx val="1"/>
          <c:order val="1"/>
          <c:tx>
            <c:strRef>
              <c:f>'GRO-GRO'!$A$1:$D$1</c:f>
              <c:strCache>
                <c:ptCount val="1"/>
                <c:pt idx="0">
                  <c:v>PrO-VAT, 1 Frame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0.2864000000000026</c:v>
                </c:pt>
                <c:pt idx="3">
                  <c:v>0.5319999999999987</c:v>
                </c:pt>
                <c:pt idx="4">
                  <c:v>0.97319999999999762</c:v>
                </c:pt>
                <c:pt idx="5">
                  <c:v>0.65720000000000167</c:v>
                </c:pt>
                <c:pt idx="6">
                  <c:v>0.62679999999999791</c:v>
                </c:pt>
                <c:pt idx="7">
                  <c:v>0.34920000000000107</c:v>
                </c:pt>
                <c:pt idx="8">
                  <c:v>1.0491999999999981</c:v>
                </c:pt>
                <c:pt idx="9">
                  <c:v>0.88040000000000018</c:v>
                </c:pt>
                <c:pt idx="10">
                  <c:v>1.2255999999999989</c:v>
                </c:pt>
                <c:pt idx="11">
                  <c:v>0.72719999999999829</c:v>
                </c:pt>
                <c:pt idx="12">
                  <c:v>0.58000000000000218</c:v>
                </c:pt>
                <c:pt idx="13">
                  <c:v>0.59279999999999988</c:v>
                </c:pt>
                <c:pt idx="14">
                  <c:v>0.78079999999999861</c:v>
                </c:pt>
                <c:pt idx="15">
                  <c:v>0.84120000000000339</c:v>
                </c:pt>
                <c:pt idx="16">
                  <c:v>0.84599999999999931</c:v>
                </c:pt>
                <c:pt idx="17">
                  <c:v>0.86639999999999529</c:v>
                </c:pt>
                <c:pt idx="18">
                  <c:v>0.69000000000000639</c:v>
                </c:pt>
                <c:pt idx="19">
                  <c:v>0.81919999999999693</c:v>
                </c:pt>
                <c:pt idx="20">
                  <c:v>1.0019999999999998</c:v>
                </c:pt>
                <c:pt idx="21">
                  <c:v>0.87439999999999884</c:v>
                </c:pt>
                <c:pt idx="22">
                  <c:v>0.57599999999999818</c:v>
                </c:pt>
                <c:pt idx="23">
                  <c:v>0.83280000000000542</c:v>
                </c:pt>
                <c:pt idx="24">
                  <c:v>0.81999999999999773</c:v>
                </c:pt>
                <c:pt idx="25">
                  <c:v>0.68519999999999859</c:v>
                </c:pt>
                <c:pt idx="26">
                  <c:v>0.80160000000000164</c:v>
                </c:pt>
                <c:pt idx="27">
                  <c:v>1.0103999999999971</c:v>
                </c:pt>
                <c:pt idx="28">
                  <c:v>1.1988000000000041</c:v>
                </c:pt>
                <c:pt idx="29">
                  <c:v>0.71879999999999777</c:v>
                </c:pt>
                <c:pt idx="30">
                  <c:v>0.68640000000000057</c:v>
                </c:pt>
                <c:pt idx="31">
                  <c:v>0.85960000000000347</c:v>
                </c:pt>
                <c:pt idx="32">
                  <c:v>1.0631999999999939</c:v>
                </c:pt>
                <c:pt idx="33">
                  <c:v>0.80640000000000334</c:v>
                </c:pt>
                <c:pt idx="34">
                  <c:v>0.73479999999999601</c:v>
                </c:pt>
                <c:pt idx="35">
                  <c:v>0.68840000000000257</c:v>
                </c:pt>
                <c:pt idx="36">
                  <c:v>0.76160000000000272</c:v>
                </c:pt>
                <c:pt idx="37">
                  <c:v>0.6327999999999967</c:v>
                </c:pt>
                <c:pt idx="38">
                  <c:v>0.48280000000000273</c:v>
                </c:pt>
                <c:pt idx="39">
                  <c:v>0.67759999999999676</c:v>
                </c:pt>
                <c:pt idx="40">
                  <c:v>0.6604000000000011</c:v>
                </c:pt>
                <c:pt idx="41">
                  <c:v>0.83000000000000373</c:v>
                </c:pt>
                <c:pt idx="42">
                  <c:v>0.45359999999999712</c:v>
                </c:pt>
                <c:pt idx="43">
                  <c:v>1.0080000000000036</c:v>
                </c:pt>
                <c:pt idx="44">
                  <c:v>0.50959999999999739</c:v>
                </c:pt>
                <c:pt idx="45">
                  <c:v>0.34080000000000121</c:v>
                </c:pt>
                <c:pt idx="46">
                  <c:v>0.69400000000000261</c:v>
                </c:pt>
                <c:pt idx="47">
                  <c:v>0.43119999999999709</c:v>
                </c:pt>
                <c:pt idx="48">
                  <c:v>0.40800000000000203</c:v>
                </c:pt>
                <c:pt idx="49">
                  <c:v>0.59599999999999664</c:v>
                </c:pt>
                <c:pt idx="50">
                  <c:v>1.1820000000000039</c:v>
                </c:pt>
                <c:pt idx="51">
                  <c:v>0.13080000000000083</c:v>
                </c:pt>
                <c:pt idx="52">
                  <c:v>0.10239999999999917</c:v>
                </c:pt>
                <c:pt idx="53">
                  <c:v>0.31960000000000388</c:v>
                </c:pt>
                <c:pt idx="54">
                  <c:v>0.16679999999999939</c:v>
                </c:pt>
                <c:pt idx="55">
                  <c:v>0.12680000000000069</c:v>
                </c:pt>
                <c:pt idx="56">
                  <c:v>3.9999999999999265E-2</c:v>
                </c:pt>
                <c:pt idx="57">
                  <c:v>0.5224000000000022</c:v>
                </c:pt>
                <c:pt idx="58">
                  <c:v>0.39760000000000129</c:v>
                </c:pt>
                <c:pt idx="59">
                  <c:v>0.67999999999999639</c:v>
                </c:pt>
                <c:pt idx="60">
                  <c:v>4.3200000000000058E-2</c:v>
                </c:pt>
                <c:pt idx="61">
                  <c:v>2.4799999999999968E-2</c:v>
                </c:pt>
                <c:pt idx="62">
                  <c:v>8.5200000000000303E-2</c:v>
                </c:pt>
                <c:pt idx="63">
                  <c:v>3.2400000000000047E-2</c:v>
                </c:pt>
                <c:pt idx="64">
                  <c:v>5.1999999999999685E-2</c:v>
                </c:pt>
                <c:pt idx="65">
                  <c:v>2.9200000000000163E-2</c:v>
                </c:pt>
                <c:pt idx="66">
                  <c:v>3.4799999999999782E-2</c:v>
                </c:pt>
                <c:pt idx="67">
                  <c:v>6.9200000000000206E-2</c:v>
                </c:pt>
                <c:pt idx="68">
                  <c:v>5.2000000000000839E-3</c:v>
                </c:pt>
                <c:pt idx="69">
                  <c:v>8.7200000000000361E-2</c:v>
                </c:pt>
                <c:pt idx="70">
                  <c:v>9.5599999999998561E-2</c:v>
                </c:pt>
                <c:pt idx="71">
                  <c:v>0.6040000000000022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D3-4301-8049-61C2E766669A}"/>
            </c:ext>
          </c:extLst>
        </c:ser>
        <c:ser>
          <c:idx val="2"/>
          <c:order val="2"/>
          <c:tx>
            <c:strRef>
              <c:f>'GRO-GRO'!$F$1:$I$1</c:f>
              <c:strCache>
                <c:ptCount val="1"/>
                <c:pt idx="0">
                  <c:v>PrO-VAT, 1 Frame, 8 (Random) Analyses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'GRO-GRO'!$G$3:$G$76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'GRO-GRO'!$I$3:$I$76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0.22240000000000068</c:v>
                </c:pt>
                <c:pt idx="3">
                  <c:v>0.64480000000000037</c:v>
                </c:pt>
                <c:pt idx="4">
                  <c:v>0.74240000000000017</c:v>
                </c:pt>
                <c:pt idx="5">
                  <c:v>0.81199999999999872</c:v>
                </c:pt>
                <c:pt idx="6">
                  <c:v>0.80439999999999778</c:v>
                </c:pt>
                <c:pt idx="7">
                  <c:v>0.84000000000000186</c:v>
                </c:pt>
                <c:pt idx="8">
                  <c:v>0.76119999999999899</c:v>
                </c:pt>
                <c:pt idx="9">
                  <c:v>0.80800000000000094</c:v>
                </c:pt>
                <c:pt idx="10">
                  <c:v>0.81240000000000134</c:v>
                </c:pt>
                <c:pt idx="11">
                  <c:v>0.77079999999999527</c:v>
                </c:pt>
                <c:pt idx="12">
                  <c:v>0.80360000000000142</c:v>
                </c:pt>
                <c:pt idx="13">
                  <c:v>0.82240000000000379</c:v>
                </c:pt>
                <c:pt idx="14">
                  <c:v>0.77159999999999607</c:v>
                </c:pt>
                <c:pt idx="15">
                  <c:v>0.72960000000000069</c:v>
                </c:pt>
                <c:pt idx="16">
                  <c:v>0.77079999999999971</c:v>
                </c:pt>
                <c:pt idx="17">
                  <c:v>0.74240000000000017</c:v>
                </c:pt>
                <c:pt idx="18">
                  <c:v>0.84000000000000374</c:v>
                </c:pt>
                <c:pt idx="19">
                  <c:v>0.75519999999999965</c:v>
                </c:pt>
                <c:pt idx="20">
                  <c:v>0.87319999999999987</c:v>
                </c:pt>
                <c:pt idx="21">
                  <c:v>0.80439999999999778</c:v>
                </c:pt>
                <c:pt idx="22">
                  <c:v>0.84439999999999771</c:v>
                </c:pt>
                <c:pt idx="23">
                  <c:v>0.88360000000000527</c:v>
                </c:pt>
                <c:pt idx="24">
                  <c:v>0.8775999999999976</c:v>
                </c:pt>
                <c:pt idx="25">
                  <c:v>0.85560000000000003</c:v>
                </c:pt>
                <c:pt idx="26">
                  <c:v>0.81039999999999712</c:v>
                </c:pt>
                <c:pt idx="27">
                  <c:v>0.84240000000000015</c:v>
                </c:pt>
                <c:pt idx="28">
                  <c:v>0.78520000000000423</c:v>
                </c:pt>
                <c:pt idx="29">
                  <c:v>1.0051999999999941</c:v>
                </c:pt>
                <c:pt idx="30">
                  <c:v>0.8432000000000025</c:v>
                </c:pt>
                <c:pt idx="31">
                  <c:v>0.85120000000000384</c:v>
                </c:pt>
                <c:pt idx="32">
                  <c:v>0.82719999999999461</c:v>
                </c:pt>
                <c:pt idx="33">
                  <c:v>0.7532000000000032</c:v>
                </c:pt>
                <c:pt idx="34">
                  <c:v>0.76399999999999613</c:v>
                </c:pt>
                <c:pt idx="35">
                  <c:v>0.68840000000000257</c:v>
                </c:pt>
                <c:pt idx="36">
                  <c:v>0.77360000000000151</c:v>
                </c:pt>
                <c:pt idx="37">
                  <c:v>0.70999999999999797</c:v>
                </c:pt>
                <c:pt idx="38">
                  <c:v>0.76720000000000177</c:v>
                </c:pt>
                <c:pt idx="39">
                  <c:v>0.431999999999999</c:v>
                </c:pt>
                <c:pt idx="40">
                  <c:v>0.61080000000000134</c:v>
                </c:pt>
                <c:pt idx="41">
                  <c:v>0.58560000000000156</c:v>
                </c:pt>
                <c:pt idx="42">
                  <c:v>0.621999999999997</c:v>
                </c:pt>
                <c:pt idx="43">
                  <c:v>0.91720000000000346</c:v>
                </c:pt>
                <c:pt idx="44">
                  <c:v>0.61959999999999682</c:v>
                </c:pt>
                <c:pt idx="45">
                  <c:v>0.49080000000000185</c:v>
                </c:pt>
                <c:pt idx="46">
                  <c:v>0.65200000000000158</c:v>
                </c:pt>
                <c:pt idx="47">
                  <c:v>0.44399999999999756</c:v>
                </c:pt>
                <c:pt idx="48">
                  <c:v>0.33280000000000204</c:v>
                </c:pt>
                <c:pt idx="49">
                  <c:v>0.57679999999999643</c:v>
                </c:pt>
                <c:pt idx="50">
                  <c:v>0.45320000000000132</c:v>
                </c:pt>
                <c:pt idx="51">
                  <c:v>0.63520000000000243</c:v>
                </c:pt>
                <c:pt idx="52">
                  <c:v>0.12799999999999909</c:v>
                </c:pt>
                <c:pt idx="53">
                  <c:v>0.33840000000000459</c:v>
                </c:pt>
                <c:pt idx="54">
                  <c:v>0.18879999999999908</c:v>
                </c:pt>
                <c:pt idx="55">
                  <c:v>0.3016000000000007</c:v>
                </c:pt>
                <c:pt idx="56">
                  <c:v>0.1731999999999991</c:v>
                </c:pt>
                <c:pt idx="57">
                  <c:v>0.29360000000000103</c:v>
                </c:pt>
                <c:pt idx="58">
                  <c:v>0.69960000000000266</c:v>
                </c:pt>
                <c:pt idx="59">
                  <c:v>0.34479999999999811</c:v>
                </c:pt>
                <c:pt idx="60">
                  <c:v>6.120000000000022E-2</c:v>
                </c:pt>
                <c:pt idx="61">
                  <c:v>3.6799999999999694E-2</c:v>
                </c:pt>
                <c:pt idx="62">
                  <c:v>3.6400000000000175E-2</c:v>
                </c:pt>
                <c:pt idx="63">
                  <c:v>9.2000000000000744E-3</c:v>
                </c:pt>
                <c:pt idx="64">
                  <c:v>4.5999999999999687E-2</c:v>
                </c:pt>
                <c:pt idx="65">
                  <c:v>5.0400000000000209E-2</c:v>
                </c:pt>
                <c:pt idx="66">
                  <c:v>6.9199999999999581E-2</c:v>
                </c:pt>
                <c:pt idx="67">
                  <c:v>3.4800000000000234E-2</c:v>
                </c:pt>
                <c:pt idx="68">
                  <c:v>8.6400000000000254E-2</c:v>
                </c:pt>
                <c:pt idx="69">
                  <c:v>0.10120000000000033</c:v>
                </c:pt>
                <c:pt idx="70">
                  <c:v>0.61439999999999129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6D-43CA-8F19-0CD7962BE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'Matrix-Comparison'!$A$2:$D$2</c:f>
              <c:strCache>
                <c:ptCount val="1"/>
                <c:pt idx="0">
                  <c:v>Water Domain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'Matrix-Comparison'!$B$4:$B$93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  <c:pt idx="74">
                  <c:v>2.1399999999999997</c:v>
                </c:pt>
                <c:pt idx="75">
                  <c:v>2.165</c:v>
                </c:pt>
                <c:pt idx="76">
                  <c:v>2.19</c:v>
                </c:pt>
                <c:pt idx="77">
                  <c:v>2.2149999999999999</c:v>
                </c:pt>
                <c:pt idx="78">
                  <c:v>2.2399999999999998</c:v>
                </c:pt>
                <c:pt idx="79">
                  <c:v>2.2649999999999997</c:v>
                </c:pt>
                <c:pt idx="80">
                  <c:v>2.29</c:v>
                </c:pt>
                <c:pt idx="81">
                  <c:v>2.3149999999999999</c:v>
                </c:pt>
                <c:pt idx="82">
                  <c:v>2.34</c:v>
                </c:pt>
                <c:pt idx="83">
                  <c:v>2.3649999999999998</c:v>
                </c:pt>
                <c:pt idx="84">
                  <c:v>2.3899999999999997</c:v>
                </c:pt>
                <c:pt idx="85">
                  <c:v>2.415</c:v>
                </c:pt>
                <c:pt idx="86">
                  <c:v>2.44</c:v>
                </c:pt>
                <c:pt idx="87">
                  <c:v>2.4649999999999999</c:v>
                </c:pt>
                <c:pt idx="88">
                  <c:v>2.4899999999999998</c:v>
                </c:pt>
                <c:pt idx="89">
                  <c:v>2.5149999999999997</c:v>
                </c:pt>
              </c:numCache>
            </c:numRef>
          </c:xVal>
          <c:yVal>
            <c:numRef>
              <c:f>'Matrix-Comparison'!$D$4:$D$93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0.21640000000000131</c:v>
                </c:pt>
                <c:pt idx="3">
                  <c:v>0.63639999999999863</c:v>
                </c:pt>
                <c:pt idx="4">
                  <c:v>0.72439999999999771</c:v>
                </c:pt>
                <c:pt idx="5">
                  <c:v>0.78000000000000225</c:v>
                </c:pt>
                <c:pt idx="6">
                  <c:v>0.81039999999999712</c:v>
                </c:pt>
                <c:pt idx="7">
                  <c:v>0.81799999999999984</c:v>
                </c:pt>
                <c:pt idx="8">
                  <c:v>0.83039999999999925</c:v>
                </c:pt>
                <c:pt idx="9">
                  <c:v>0.83440000000000514</c:v>
                </c:pt>
                <c:pt idx="10">
                  <c:v>0.83359999999999801</c:v>
                </c:pt>
                <c:pt idx="11">
                  <c:v>0.86799999999999689</c:v>
                </c:pt>
                <c:pt idx="12">
                  <c:v>0.87560000000000227</c:v>
                </c:pt>
                <c:pt idx="13">
                  <c:v>0.8408000000000001</c:v>
                </c:pt>
                <c:pt idx="14">
                  <c:v>0.83360000000000245</c:v>
                </c:pt>
                <c:pt idx="15">
                  <c:v>0.87079999999999746</c:v>
                </c:pt>
                <c:pt idx="16">
                  <c:v>0.89599999999999824</c:v>
                </c:pt>
                <c:pt idx="17">
                  <c:v>0.87000000000000111</c:v>
                </c:pt>
                <c:pt idx="18">
                  <c:v>0.88520000000000243</c:v>
                </c:pt>
                <c:pt idx="19">
                  <c:v>0.9024000000000002</c:v>
                </c:pt>
                <c:pt idx="20">
                  <c:v>0.87399999999999622</c:v>
                </c:pt>
                <c:pt idx="21">
                  <c:v>0.88640000000000196</c:v>
                </c:pt>
                <c:pt idx="22">
                  <c:v>0.89959999999999962</c:v>
                </c:pt>
                <c:pt idx="23">
                  <c:v>0.92560000000000087</c:v>
                </c:pt>
                <c:pt idx="24">
                  <c:v>0.88440000000000218</c:v>
                </c:pt>
                <c:pt idx="25">
                  <c:v>0.83839999999999837</c:v>
                </c:pt>
                <c:pt idx="26">
                  <c:v>0.8887999999999977</c:v>
                </c:pt>
                <c:pt idx="27">
                  <c:v>0.85120000000000007</c:v>
                </c:pt>
                <c:pt idx="28">
                  <c:v>0.85000000000000264</c:v>
                </c:pt>
                <c:pt idx="29">
                  <c:v>0.82399999999999585</c:v>
                </c:pt>
                <c:pt idx="30">
                  <c:v>0.81640000000000224</c:v>
                </c:pt>
                <c:pt idx="31">
                  <c:v>0.8436000000000029</c:v>
                </c:pt>
                <c:pt idx="32">
                  <c:v>0.7471999999999972</c:v>
                </c:pt>
                <c:pt idx="33">
                  <c:v>0.76520000000000188</c:v>
                </c:pt>
                <c:pt idx="34">
                  <c:v>0.75039999999999596</c:v>
                </c:pt>
                <c:pt idx="35">
                  <c:v>0.72040000000000359</c:v>
                </c:pt>
                <c:pt idx="36">
                  <c:v>0.70280000000000142</c:v>
                </c:pt>
                <c:pt idx="37">
                  <c:v>0.7467999999999968</c:v>
                </c:pt>
                <c:pt idx="38">
                  <c:v>0.74920000000000142</c:v>
                </c:pt>
                <c:pt idx="39">
                  <c:v>0.61599999999999655</c:v>
                </c:pt>
                <c:pt idx="40">
                  <c:v>0.5936000000000029</c:v>
                </c:pt>
                <c:pt idx="41">
                  <c:v>0.59360000000000179</c:v>
                </c:pt>
                <c:pt idx="42">
                  <c:v>0.5915999999999968</c:v>
                </c:pt>
                <c:pt idx="43">
                  <c:v>0.52240000000000253</c:v>
                </c:pt>
                <c:pt idx="44">
                  <c:v>0.47199999999999659</c:v>
                </c:pt>
                <c:pt idx="45">
                  <c:v>0.47160000000000257</c:v>
                </c:pt>
                <c:pt idx="46">
                  <c:v>0.48840000000000167</c:v>
                </c:pt>
                <c:pt idx="47">
                  <c:v>0.35519999999999807</c:v>
                </c:pt>
                <c:pt idx="48">
                  <c:v>0.43720000000000137</c:v>
                </c:pt>
                <c:pt idx="49">
                  <c:v>0.34759999999999774</c:v>
                </c:pt>
                <c:pt idx="50">
                  <c:v>0.30480000000000118</c:v>
                </c:pt>
                <c:pt idx="51">
                  <c:v>0.33200000000000124</c:v>
                </c:pt>
                <c:pt idx="52">
                  <c:v>0.34399999999999803</c:v>
                </c:pt>
                <c:pt idx="53">
                  <c:v>0.25240000000000357</c:v>
                </c:pt>
                <c:pt idx="54">
                  <c:v>0.33639999999999826</c:v>
                </c:pt>
                <c:pt idx="55">
                  <c:v>0.34040000000000081</c:v>
                </c:pt>
                <c:pt idx="56">
                  <c:v>0.30159999999999859</c:v>
                </c:pt>
                <c:pt idx="57">
                  <c:v>0.24360000000000079</c:v>
                </c:pt>
                <c:pt idx="58">
                  <c:v>0.3112000000000012</c:v>
                </c:pt>
                <c:pt idx="59">
                  <c:v>0.28839999999999849</c:v>
                </c:pt>
                <c:pt idx="60">
                  <c:v>0.22120000000000078</c:v>
                </c:pt>
                <c:pt idx="61">
                  <c:v>0.2931999999999983</c:v>
                </c:pt>
                <c:pt idx="62">
                  <c:v>0.13920000000000052</c:v>
                </c:pt>
                <c:pt idx="63">
                  <c:v>0.21040000000000078</c:v>
                </c:pt>
                <c:pt idx="64">
                  <c:v>0.1759999999999991</c:v>
                </c:pt>
                <c:pt idx="65">
                  <c:v>0.17840000000000059</c:v>
                </c:pt>
                <c:pt idx="66">
                  <c:v>0.13719999999999929</c:v>
                </c:pt>
                <c:pt idx="67">
                  <c:v>4.1200000000000132E-2</c:v>
                </c:pt>
                <c:pt idx="68">
                  <c:v>5.3600000000000189E-2</c:v>
                </c:pt>
                <c:pt idx="69">
                  <c:v>4.760000000000017E-2</c:v>
                </c:pt>
                <c:pt idx="70">
                  <c:v>1.5999999999999771E-2</c:v>
                </c:pt>
                <c:pt idx="71">
                  <c:v>2.5600000000000091E-2</c:v>
                </c:pt>
                <c:pt idx="72">
                  <c:v>2.5600000000000091E-2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23-4D07-AA39-269EA6E5C11E}"/>
            </c:ext>
          </c:extLst>
        </c:ser>
        <c:ser>
          <c:idx val="1"/>
          <c:order val="1"/>
          <c:tx>
            <c:strRef>
              <c:f>'Matrix-Comparison'!$F$2:$I$2</c:f>
              <c:strCache>
                <c:ptCount val="1"/>
                <c:pt idx="0">
                  <c:v>Polar Domain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'Matrix-Comparison'!$G$4:$G$93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  <c:pt idx="74">
                  <c:v>2.1399999999999997</c:v>
                </c:pt>
                <c:pt idx="75">
                  <c:v>2.165</c:v>
                </c:pt>
                <c:pt idx="76">
                  <c:v>2.19</c:v>
                </c:pt>
                <c:pt idx="77">
                  <c:v>2.2149999999999999</c:v>
                </c:pt>
                <c:pt idx="78">
                  <c:v>2.2399999999999998</c:v>
                </c:pt>
                <c:pt idx="79">
                  <c:v>2.2649999999999997</c:v>
                </c:pt>
                <c:pt idx="80">
                  <c:v>2.29</c:v>
                </c:pt>
                <c:pt idx="81">
                  <c:v>2.3149999999999999</c:v>
                </c:pt>
                <c:pt idx="82">
                  <c:v>2.34</c:v>
                </c:pt>
                <c:pt idx="83">
                  <c:v>2.3649999999999998</c:v>
                </c:pt>
                <c:pt idx="84">
                  <c:v>2.3899999999999997</c:v>
                </c:pt>
                <c:pt idx="85">
                  <c:v>2.415</c:v>
                </c:pt>
                <c:pt idx="86">
                  <c:v>2.44</c:v>
                </c:pt>
                <c:pt idx="87">
                  <c:v>2.4649999999999999</c:v>
                </c:pt>
                <c:pt idx="88">
                  <c:v>2.4899999999999998</c:v>
                </c:pt>
                <c:pt idx="89">
                  <c:v>2.5149999999999997</c:v>
                </c:pt>
              </c:numCache>
            </c:numRef>
          </c:xVal>
          <c:yVal>
            <c:numRef>
              <c:f>'Matrix-Comparison'!$I$4:$I$93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0.11000000000000136</c:v>
                </c:pt>
                <c:pt idx="3">
                  <c:v>0.29759999999999981</c:v>
                </c:pt>
                <c:pt idx="4">
                  <c:v>0.31319999999999987</c:v>
                </c:pt>
                <c:pt idx="5">
                  <c:v>0.32680000000000015</c:v>
                </c:pt>
                <c:pt idx="6">
                  <c:v>0.33159999999999606</c:v>
                </c:pt>
                <c:pt idx="7">
                  <c:v>0.35160000000000347</c:v>
                </c:pt>
                <c:pt idx="8">
                  <c:v>0.36680000000000013</c:v>
                </c:pt>
                <c:pt idx="9">
                  <c:v>0.37679999999999986</c:v>
                </c:pt>
                <c:pt idx="10">
                  <c:v>0.38559999999999894</c:v>
                </c:pt>
                <c:pt idx="11">
                  <c:v>0.40719999999999829</c:v>
                </c:pt>
                <c:pt idx="12">
                  <c:v>0.41600000000000265</c:v>
                </c:pt>
                <c:pt idx="13">
                  <c:v>0.44200000000000172</c:v>
                </c:pt>
                <c:pt idx="14">
                  <c:v>0.46359999999999918</c:v>
                </c:pt>
                <c:pt idx="15">
                  <c:v>0.47279999999999722</c:v>
                </c:pt>
                <c:pt idx="16">
                  <c:v>0.50920000000000032</c:v>
                </c:pt>
                <c:pt idx="17">
                  <c:v>0.5004000000000004</c:v>
                </c:pt>
                <c:pt idx="18">
                  <c:v>0.52920000000000045</c:v>
                </c:pt>
                <c:pt idx="19">
                  <c:v>0.5327999999999995</c:v>
                </c:pt>
                <c:pt idx="20">
                  <c:v>0.56519999999999848</c:v>
                </c:pt>
                <c:pt idx="21">
                  <c:v>0.55519999999999969</c:v>
                </c:pt>
                <c:pt idx="22">
                  <c:v>0.57920000000000138</c:v>
                </c:pt>
                <c:pt idx="23">
                  <c:v>0.5916000000000009</c:v>
                </c:pt>
                <c:pt idx="24">
                  <c:v>0.63159999999999827</c:v>
                </c:pt>
                <c:pt idx="25">
                  <c:v>0.61600000000000266</c:v>
                </c:pt>
                <c:pt idx="26">
                  <c:v>0.64999999999999891</c:v>
                </c:pt>
                <c:pt idx="27">
                  <c:v>0.66119999999999679</c:v>
                </c:pt>
                <c:pt idx="28">
                  <c:v>0.67920000000000225</c:v>
                </c:pt>
                <c:pt idx="29">
                  <c:v>0.68320000000000014</c:v>
                </c:pt>
                <c:pt idx="30">
                  <c:v>0.71560000000000101</c:v>
                </c:pt>
                <c:pt idx="31">
                  <c:v>0.70640000000000291</c:v>
                </c:pt>
                <c:pt idx="32">
                  <c:v>0.69759999999999678</c:v>
                </c:pt>
                <c:pt idx="33">
                  <c:v>0.70119999999999982</c:v>
                </c:pt>
                <c:pt idx="34">
                  <c:v>0.75439999999999552</c:v>
                </c:pt>
                <c:pt idx="35">
                  <c:v>0.75160000000000604</c:v>
                </c:pt>
                <c:pt idx="36">
                  <c:v>0.76440000000000108</c:v>
                </c:pt>
                <c:pt idx="37">
                  <c:v>0.77399999999999503</c:v>
                </c:pt>
                <c:pt idx="38">
                  <c:v>0.79320000000000335</c:v>
                </c:pt>
                <c:pt idx="39">
                  <c:v>0.78799999999999559</c:v>
                </c:pt>
                <c:pt idx="40">
                  <c:v>0.79880000000000462</c:v>
                </c:pt>
                <c:pt idx="41">
                  <c:v>0.74600000000000266</c:v>
                </c:pt>
                <c:pt idx="42">
                  <c:v>0.72319999999999551</c:v>
                </c:pt>
                <c:pt idx="43">
                  <c:v>0.77640000000000209</c:v>
                </c:pt>
                <c:pt idx="44">
                  <c:v>0.77719999999999601</c:v>
                </c:pt>
                <c:pt idx="45">
                  <c:v>0.74520000000000186</c:v>
                </c:pt>
                <c:pt idx="46">
                  <c:v>0.74040000000000372</c:v>
                </c:pt>
                <c:pt idx="47">
                  <c:v>0.65119999999999723</c:v>
                </c:pt>
                <c:pt idx="48">
                  <c:v>0.73640000000000194</c:v>
                </c:pt>
                <c:pt idx="49">
                  <c:v>0.61799999999999744</c:v>
                </c:pt>
                <c:pt idx="50">
                  <c:v>0.62920000000000087</c:v>
                </c:pt>
                <c:pt idx="51">
                  <c:v>0.70240000000000324</c:v>
                </c:pt>
                <c:pt idx="52">
                  <c:v>0.63439999999999608</c:v>
                </c:pt>
                <c:pt idx="53">
                  <c:v>0.62280000000000779</c:v>
                </c:pt>
                <c:pt idx="54">
                  <c:v>0.57559999999999745</c:v>
                </c:pt>
                <c:pt idx="55">
                  <c:v>0.57200000000000117</c:v>
                </c:pt>
                <c:pt idx="56">
                  <c:v>0.48279999999999845</c:v>
                </c:pt>
                <c:pt idx="57">
                  <c:v>0.61200000000000143</c:v>
                </c:pt>
                <c:pt idx="58">
                  <c:v>0.50120000000000231</c:v>
                </c:pt>
                <c:pt idx="59">
                  <c:v>0.46039999999999726</c:v>
                </c:pt>
                <c:pt idx="60">
                  <c:v>0.34680000000000166</c:v>
                </c:pt>
                <c:pt idx="61">
                  <c:v>0.38519999999999793</c:v>
                </c:pt>
                <c:pt idx="62">
                  <c:v>0.39200000000000096</c:v>
                </c:pt>
                <c:pt idx="63">
                  <c:v>0.256000000000001</c:v>
                </c:pt>
                <c:pt idx="64">
                  <c:v>0.43279999999999752</c:v>
                </c:pt>
                <c:pt idx="65">
                  <c:v>0.32000000000000139</c:v>
                </c:pt>
                <c:pt idx="66">
                  <c:v>0.23319999999999827</c:v>
                </c:pt>
                <c:pt idx="67">
                  <c:v>0.30680000000000152</c:v>
                </c:pt>
                <c:pt idx="68">
                  <c:v>0.27480000000000104</c:v>
                </c:pt>
                <c:pt idx="69">
                  <c:v>0.35200000000000137</c:v>
                </c:pt>
                <c:pt idx="70">
                  <c:v>0.35319999999999463</c:v>
                </c:pt>
                <c:pt idx="71">
                  <c:v>0.37160000000000132</c:v>
                </c:pt>
                <c:pt idx="72">
                  <c:v>0.22760000000000083</c:v>
                </c:pt>
                <c:pt idx="73">
                  <c:v>0.2484000000000009</c:v>
                </c:pt>
                <c:pt idx="74">
                  <c:v>0.31560000000000116</c:v>
                </c:pt>
                <c:pt idx="75">
                  <c:v>0.1835999999999974</c:v>
                </c:pt>
                <c:pt idx="76">
                  <c:v>0.2048000000000007</c:v>
                </c:pt>
                <c:pt idx="77">
                  <c:v>0.28520000000000106</c:v>
                </c:pt>
                <c:pt idx="78">
                  <c:v>0.16960000000000064</c:v>
                </c:pt>
                <c:pt idx="79">
                  <c:v>0.12920000000000048</c:v>
                </c:pt>
                <c:pt idx="80">
                  <c:v>0.10599999999999847</c:v>
                </c:pt>
                <c:pt idx="81">
                  <c:v>4.040000000000013E-2</c:v>
                </c:pt>
                <c:pt idx="82">
                  <c:v>7.200000000000044E-3</c:v>
                </c:pt>
                <c:pt idx="83">
                  <c:v>3.9999999999999897E-3</c:v>
                </c:pt>
                <c:pt idx="84">
                  <c:v>0.11080000000000041</c:v>
                </c:pt>
                <c:pt idx="85">
                  <c:v>7.9999999999999071E-4</c:v>
                </c:pt>
                <c:pt idx="86">
                  <c:v>6.8000000000000204E-3</c:v>
                </c:pt>
                <c:pt idx="87">
                  <c:v>3.8000000000000138E-2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23-4D07-AA39-269EA6E5C11E}"/>
            </c:ext>
          </c:extLst>
        </c:ser>
        <c:ser>
          <c:idx val="2"/>
          <c:order val="2"/>
          <c:tx>
            <c:strRef>
              <c:f>'Matrix-Comparison'!$K$2:$N$2</c:f>
              <c:strCache>
                <c:ptCount val="1"/>
                <c:pt idx="0">
                  <c:v>Polymer Domain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'Matrix-Comparison'!$L$4:$L$93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  <c:pt idx="74">
                  <c:v>2.1399999999999997</c:v>
                </c:pt>
                <c:pt idx="75">
                  <c:v>2.165</c:v>
                </c:pt>
                <c:pt idx="76">
                  <c:v>2.19</c:v>
                </c:pt>
                <c:pt idx="77">
                  <c:v>2.2149999999999999</c:v>
                </c:pt>
                <c:pt idx="78">
                  <c:v>2.2399999999999998</c:v>
                </c:pt>
                <c:pt idx="79">
                  <c:v>2.2649999999999997</c:v>
                </c:pt>
                <c:pt idx="80">
                  <c:v>2.29</c:v>
                </c:pt>
                <c:pt idx="81">
                  <c:v>2.3149999999999999</c:v>
                </c:pt>
                <c:pt idx="82">
                  <c:v>2.34</c:v>
                </c:pt>
                <c:pt idx="83">
                  <c:v>2.3649999999999998</c:v>
                </c:pt>
                <c:pt idx="84">
                  <c:v>2.3899999999999997</c:v>
                </c:pt>
                <c:pt idx="85">
                  <c:v>2.415</c:v>
                </c:pt>
                <c:pt idx="86">
                  <c:v>2.44</c:v>
                </c:pt>
                <c:pt idx="87">
                  <c:v>2.4649999999999999</c:v>
                </c:pt>
                <c:pt idx="88">
                  <c:v>2.4899999999999998</c:v>
                </c:pt>
                <c:pt idx="89">
                  <c:v>2.5149999999999997</c:v>
                </c:pt>
              </c:numCache>
            </c:numRef>
          </c:xVal>
          <c:yVal>
            <c:numRef>
              <c:f>'Matrix-Comparison'!$N$4:$N$93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0.13040000000000179</c:v>
                </c:pt>
                <c:pt idx="3">
                  <c:v>0.35879999999999657</c:v>
                </c:pt>
                <c:pt idx="4">
                  <c:v>0.3903999999999993</c:v>
                </c:pt>
                <c:pt idx="5">
                  <c:v>0.39840000000000286</c:v>
                </c:pt>
                <c:pt idx="6">
                  <c:v>0.39439999999999886</c:v>
                </c:pt>
                <c:pt idx="7">
                  <c:v>0.3711999999999987</c:v>
                </c:pt>
                <c:pt idx="8">
                  <c:v>0.35280000000000167</c:v>
                </c:pt>
                <c:pt idx="9">
                  <c:v>0.32280000000000131</c:v>
                </c:pt>
                <c:pt idx="10">
                  <c:v>0.32039999999999819</c:v>
                </c:pt>
                <c:pt idx="11">
                  <c:v>0.30359999999999915</c:v>
                </c:pt>
                <c:pt idx="12">
                  <c:v>0.29320000000000207</c:v>
                </c:pt>
                <c:pt idx="13">
                  <c:v>0.28639999999999877</c:v>
                </c:pt>
                <c:pt idx="14">
                  <c:v>0.28160000000000157</c:v>
                </c:pt>
                <c:pt idx="15">
                  <c:v>0.28000000000000003</c:v>
                </c:pt>
                <c:pt idx="16">
                  <c:v>0.27879999999999661</c:v>
                </c:pt>
                <c:pt idx="17">
                  <c:v>0.27360000000000251</c:v>
                </c:pt>
                <c:pt idx="18">
                  <c:v>0.27520000000000089</c:v>
                </c:pt>
                <c:pt idx="19">
                  <c:v>0.27079999999999749</c:v>
                </c:pt>
                <c:pt idx="20">
                  <c:v>0.27880000000000105</c:v>
                </c:pt>
                <c:pt idx="21">
                  <c:v>0.29079999999999967</c:v>
                </c:pt>
                <c:pt idx="22">
                  <c:v>0.29040000000000149</c:v>
                </c:pt>
                <c:pt idx="23">
                  <c:v>0.29719999999999852</c:v>
                </c:pt>
                <c:pt idx="24">
                  <c:v>0.31880000000000103</c:v>
                </c:pt>
                <c:pt idx="25">
                  <c:v>0.32239999999999797</c:v>
                </c:pt>
                <c:pt idx="26">
                  <c:v>0.35000000000000109</c:v>
                </c:pt>
                <c:pt idx="27">
                  <c:v>0.37479999999999924</c:v>
                </c:pt>
                <c:pt idx="28">
                  <c:v>0.38920000000000204</c:v>
                </c:pt>
                <c:pt idx="29">
                  <c:v>0.41039999999999527</c:v>
                </c:pt>
                <c:pt idx="30">
                  <c:v>0.43720000000000581</c:v>
                </c:pt>
                <c:pt idx="31">
                  <c:v>0.4423999999999999</c:v>
                </c:pt>
                <c:pt idx="32">
                  <c:v>0.48479999999999818</c:v>
                </c:pt>
                <c:pt idx="33">
                  <c:v>0.54240000000000255</c:v>
                </c:pt>
                <c:pt idx="34">
                  <c:v>0.5591999999999967</c:v>
                </c:pt>
                <c:pt idx="35">
                  <c:v>0.62919999999999865</c:v>
                </c:pt>
                <c:pt idx="36">
                  <c:v>0.66800000000000426</c:v>
                </c:pt>
                <c:pt idx="37">
                  <c:v>0.70559999999999579</c:v>
                </c:pt>
                <c:pt idx="38">
                  <c:v>0.79640000000000211</c:v>
                </c:pt>
                <c:pt idx="39">
                  <c:v>0.85559999999999625</c:v>
                </c:pt>
                <c:pt idx="40">
                  <c:v>0.92760000000000509</c:v>
                </c:pt>
                <c:pt idx="41">
                  <c:v>1.0104000000000015</c:v>
                </c:pt>
                <c:pt idx="42">
                  <c:v>1.0803999999999934</c:v>
                </c:pt>
                <c:pt idx="43">
                  <c:v>1.1412000000000062</c:v>
                </c:pt>
                <c:pt idx="44">
                  <c:v>1.1723999999999939</c:v>
                </c:pt>
                <c:pt idx="45">
                  <c:v>1.1724000000000043</c:v>
                </c:pt>
                <c:pt idx="46">
                  <c:v>1.1908000000000027</c:v>
                </c:pt>
                <c:pt idx="47">
                  <c:v>1.2575999999999943</c:v>
                </c:pt>
                <c:pt idx="48">
                  <c:v>1.296000000000004</c:v>
                </c:pt>
                <c:pt idx="49">
                  <c:v>1.2799999999999943</c:v>
                </c:pt>
                <c:pt idx="50">
                  <c:v>1.3888000000000038</c:v>
                </c:pt>
                <c:pt idx="51">
                  <c:v>1.249600000000004</c:v>
                </c:pt>
                <c:pt idx="52">
                  <c:v>1.0507999999999951</c:v>
                </c:pt>
                <c:pt idx="53">
                  <c:v>1.184800000000015</c:v>
                </c:pt>
                <c:pt idx="54">
                  <c:v>1.1427999999999934</c:v>
                </c:pt>
                <c:pt idx="55">
                  <c:v>1.0224000000000035</c:v>
                </c:pt>
                <c:pt idx="56">
                  <c:v>0.78239999999999554</c:v>
                </c:pt>
                <c:pt idx="57">
                  <c:v>0.83040000000000358</c:v>
                </c:pt>
                <c:pt idx="58">
                  <c:v>0.7920000000000027</c:v>
                </c:pt>
                <c:pt idx="59">
                  <c:v>0.50719999999999721</c:v>
                </c:pt>
                <c:pt idx="60">
                  <c:v>0.55840000000000201</c:v>
                </c:pt>
                <c:pt idx="61">
                  <c:v>0.53479999999999717</c:v>
                </c:pt>
                <c:pt idx="62">
                  <c:v>0.28920000000000107</c:v>
                </c:pt>
                <c:pt idx="63">
                  <c:v>0.39640000000000147</c:v>
                </c:pt>
                <c:pt idx="64">
                  <c:v>0.27319999999999839</c:v>
                </c:pt>
                <c:pt idx="65">
                  <c:v>0.24800000000000105</c:v>
                </c:pt>
                <c:pt idx="66">
                  <c:v>0.2239999999999987</c:v>
                </c:pt>
                <c:pt idx="67">
                  <c:v>0.20440000000000072</c:v>
                </c:pt>
                <c:pt idx="68">
                  <c:v>0.23120000000000085</c:v>
                </c:pt>
                <c:pt idx="69">
                  <c:v>0.14720000000000055</c:v>
                </c:pt>
                <c:pt idx="70">
                  <c:v>0.17919999999999744</c:v>
                </c:pt>
                <c:pt idx="71">
                  <c:v>6.0800000000000222E-2</c:v>
                </c:pt>
                <c:pt idx="72">
                  <c:v>2.6800000000000095E-2</c:v>
                </c:pt>
                <c:pt idx="73">
                  <c:v>2.6400000000000094E-2</c:v>
                </c:pt>
                <c:pt idx="74">
                  <c:v>6.880000000000025E-2</c:v>
                </c:pt>
                <c:pt idx="75">
                  <c:v>7.9999999999999071E-4</c:v>
                </c:pt>
                <c:pt idx="76">
                  <c:v>2.4000000000000084E-2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23-4D07-AA39-269EA6E5C11E}"/>
            </c:ext>
          </c:extLst>
        </c:ser>
        <c:ser>
          <c:idx val="3"/>
          <c:order val="3"/>
          <c:tx>
            <c:strRef>
              <c:f>'Matrix-Comparison'!$P$2:$S$2</c:f>
              <c:strCache>
                <c:ptCount val="1"/>
                <c:pt idx="0">
                  <c:v>Nonpolar Domain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'Matrix-Comparison'!$Q$4:$Q$93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  <c:pt idx="74">
                  <c:v>2.1399999999999997</c:v>
                </c:pt>
                <c:pt idx="75">
                  <c:v>2.165</c:v>
                </c:pt>
                <c:pt idx="76">
                  <c:v>2.19</c:v>
                </c:pt>
                <c:pt idx="77">
                  <c:v>2.2149999999999999</c:v>
                </c:pt>
                <c:pt idx="78">
                  <c:v>2.2399999999999998</c:v>
                </c:pt>
                <c:pt idx="79">
                  <c:v>2.2649999999999997</c:v>
                </c:pt>
                <c:pt idx="80">
                  <c:v>2.29</c:v>
                </c:pt>
                <c:pt idx="81">
                  <c:v>2.3149999999999999</c:v>
                </c:pt>
                <c:pt idx="82">
                  <c:v>2.34</c:v>
                </c:pt>
                <c:pt idx="83">
                  <c:v>2.3649999999999998</c:v>
                </c:pt>
                <c:pt idx="84">
                  <c:v>2.3899999999999997</c:v>
                </c:pt>
                <c:pt idx="85">
                  <c:v>2.415</c:v>
                </c:pt>
                <c:pt idx="86">
                  <c:v>2.44</c:v>
                </c:pt>
                <c:pt idx="87">
                  <c:v>2.4649999999999999</c:v>
                </c:pt>
                <c:pt idx="88">
                  <c:v>2.4899999999999998</c:v>
                </c:pt>
                <c:pt idx="89">
                  <c:v>2.5149999999999997</c:v>
                </c:pt>
              </c:numCache>
            </c:numRef>
          </c:xVal>
          <c:yVal>
            <c:numRef>
              <c:f>'Matrix-Comparison'!$S$4:$S$93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9.6799999999999234E-2</c:v>
                </c:pt>
                <c:pt idx="3">
                  <c:v>0.24640000000000195</c:v>
                </c:pt>
                <c:pt idx="4">
                  <c:v>0.25840000000000063</c:v>
                </c:pt>
                <c:pt idx="5">
                  <c:v>0.25239999999999685</c:v>
                </c:pt>
                <c:pt idx="6">
                  <c:v>0.25240000000000129</c:v>
                </c:pt>
                <c:pt idx="7">
                  <c:v>0.25280000000000002</c:v>
                </c:pt>
                <c:pt idx="8">
                  <c:v>0.25119999999999787</c:v>
                </c:pt>
                <c:pt idx="9">
                  <c:v>0.26120000000000176</c:v>
                </c:pt>
                <c:pt idx="10">
                  <c:v>0.25720000000000165</c:v>
                </c:pt>
                <c:pt idx="11">
                  <c:v>0.25399999999999845</c:v>
                </c:pt>
                <c:pt idx="12">
                  <c:v>0.25840000000000063</c:v>
                </c:pt>
                <c:pt idx="13">
                  <c:v>0.26319999999999771</c:v>
                </c:pt>
                <c:pt idx="14">
                  <c:v>0.25959999999999961</c:v>
                </c:pt>
                <c:pt idx="15">
                  <c:v>0.26240000000000019</c:v>
                </c:pt>
                <c:pt idx="16">
                  <c:v>0.26839999999999953</c:v>
                </c:pt>
                <c:pt idx="17">
                  <c:v>0.27800000000000025</c:v>
                </c:pt>
                <c:pt idx="18">
                  <c:v>0.27000000000000229</c:v>
                </c:pt>
                <c:pt idx="19">
                  <c:v>0.28239999999999793</c:v>
                </c:pt>
                <c:pt idx="20">
                  <c:v>0.28480000000000033</c:v>
                </c:pt>
                <c:pt idx="21">
                  <c:v>0.30760000000000315</c:v>
                </c:pt>
                <c:pt idx="22">
                  <c:v>0.32839999999999731</c:v>
                </c:pt>
                <c:pt idx="23">
                  <c:v>0.33680000000000054</c:v>
                </c:pt>
                <c:pt idx="24">
                  <c:v>0.37360000000000027</c:v>
                </c:pt>
                <c:pt idx="25">
                  <c:v>0.39239999999999908</c:v>
                </c:pt>
                <c:pt idx="26">
                  <c:v>0.42320000000000096</c:v>
                </c:pt>
                <c:pt idx="27">
                  <c:v>0.44760000000000094</c:v>
                </c:pt>
                <c:pt idx="28">
                  <c:v>0.47959999999999953</c:v>
                </c:pt>
                <c:pt idx="29">
                  <c:v>0.51879999999999871</c:v>
                </c:pt>
                <c:pt idx="30">
                  <c:v>0.56159999999999966</c:v>
                </c:pt>
                <c:pt idx="31">
                  <c:v>0.6032000000000014</c:v>
                </c:pt>
                <c:pt idx="32">
                  <c:v>0.65839999999999765</c:v>
                </c:pt>
                <c:pt idx="33">
                  <c:v>0.71520000000000283</c:v>
                </c:pt>
                <c:pt idx="34">
                  <c:v>0.77399999999999503</c:v>
                </c:pt>
                <c:pt idx="35">
                  <c:v>0.84000000000000374</c:v>
                </c:pt>
                <c:pt idx="36">
                  <c:v>0.93960000000000377</c:v>
                </c:pt>
                <c:pt idx="37">
                  <c:v>1.0267999999999933</c:v>
                </c:pt>
                <c:pt idx="38">
                  <c:v>1.2316000000000038</c:v>
                </c:pt>
                <c:pt idx="39">
                  <c:v>1.2559999999999971</c:v>
                </c:pt>
                <c:pt idx="40">
                  <c:v>1.3120000000000023</c:v>
                </c:pt>
                <c:pt idx="41">
                  <c:v>1.4252000000000071</c:v>
                </c:pt>
                <c:pt idx="42">
                  <c:v>1.3271999999999924</c:v>
                </c:pt>
                <c:pt idx="43">
                  <c:v>1.4144000000000052</c:v>
                </c:pt>
                <c:pt idx="44">
                  <c:v>1.2983999999999927</c:v>
                </c:pt>
                <c:pt idx="45">
                  <c:v>1.366800000000004</c:v>
                </c:pt>
                <c:pt idx="46">
                  <c:v>1.2412000000000045</c:v>
                </c:pt>
                <c:pt idx="47">
                  <c:v>1.2063999999999944</c:v>
                </c:pt>
                <c:pt idx="48">
                  <c:v>1.2160000000000035</c:v>
                </c:pt>
                <c:pt idx="49">
                  <c:v>1.1327999999999945</c:v>
                </c:pt>
                <c:pt idx="50">
                  <c:v>1.2128000000000037</c:v>
                </c:pt>
                <c:pt idx="51">
                  <c:v>1.0708000000000044</c:v>
                </c:pt>
                <c:pt idx="52">
                  <c:v>0.99039999999999373</c:v>
                </c:pt>
                <c:pt idx="53">
                  <c:v>0.85200000000001108</c:v>
                </c:pt>
                <c:pt idx="54">
                  <c:v>0.73079999999999645</c:v>
                </c:pt>
                <c:pt idx="55">
                  <c:v>0.7292000000000024</c:v>
                </c:pt>
                <c:pt idx="56">
                  <c:v>0.75119999999999565</c:v>
                </c:pt>
                <c:pt idx="57">
                  <c:v>0.68080000000000274</c:v>
                </c:pt>
                <c:pt idx="58">
                  <c:v>0.37200000000000144</c:v>
                </c:pt>
                <c:pt idx="59">
                  <c:v>0.37839999999999785</c:v>
                </c:pt>
                <c:pt idx="60">
                  <c:v>0.31280000000000113</c:v>
                </c:pt>
                <c:pt idx="61">
                  <c:v>0.19039999999999899</c:v>
                </c:pt>
                <c:pt idx="62">
                  <c:v>0.33320000000000105</c:v>
                </c:pt>
                <c:pt idx="63">
                  <c:v>0.20560000000000067</c:v>
                </c:pt>
                <c:pt idx="64">
                  <c:v>0.21519999999999898</c:v>
                </c:pt>
                <c:pt idx="65">
                  <c:v>0.22360000000000071</c:v>
                </c:pt>
                <c:pt idx="66">
                  <c:v>0.31639999999999835</c:v>
                </c:pt>
                <c:pt idx="67">
                  <c:v>0.1484000000000005</c:v>
                </c:pt>
                <c:pt idx="68">
                  <c:v>0.1556000000000006</c:v>
                </c:pt>
                <c:pt idx="69">
                  <c:v>7.7200000000000255E-2</c:v>
                </c:pt>
                <c:pt idx="70">
                  <c:v>6.6799999999999055E-2</c:v>
                </c:pt>
                <c:pt idx="71">
                  <c:v>2.1600000000000077E-2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23-4D07-AA39-269EA6E5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'Voxel-Size-Comparison'!$A$2:$D$2</c:f>
              <c:strCache>
                <c:ptCount val="1"/>
                <c:pt idx="0">
                  <c:v>PrO-VAT L = 1.0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'Voxel-Size-Comparison'!$B$4:$B$93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'Voxel-Size-Comparison'!$D$4:$D$93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0.21640000000000131</c:v>
                </c:pt>
                <c:pt idx="3">
                  <c:v>0.63639999999999863</c:v>
                </c:pt>
                <c:pt idx="4">
                  <c:v>0.72439999999999771</c:v>
                </c:pt>
                <c:pt idx="5">
                  <c:v>0.78000000000000225</c:v>
                </c:pt>
                <c:pt idx="6">
                  <c:v>0.81039999999999712</c:v>
                </c:pt>
                <c:pt idx="7">
                  <c:v>0.81799999999999984</c:v>
                </c:pt>
                <c:pt idx="8">
                  <c:v>0.83039999999999925</c:v>
                </c:pt>
                <c:pt idx="9">
                  <c:v>0.83440000000000514</c:v>
                </c:pt>
                <c:pt idx="10">
                  <c:v>0.83359999999999801</c:v>
                </c:pt>
                <c:pt idx="11">
                  <c:v>0.86799999999999689</c:v>
                </c:pt>
                <c:pt idx="12">
                  <c:v>0.87560000000000227</c:v>
                </c:pt>
                <c:pt idx="13">
                  <c:v>0.8408000000000001</c:v>
                </c:pt>
                <c:pt idx="14">
                  <c:v>0.83360000000000245</c:v>
                </c:pt>
                <c:pt idx="15">
                  <c:v>0.87079999999999746</c:v>
                </c:pt>
                <c:pt idx="16">
                  <c:v>0.89599999999999824</c:v>
                </c:pt>
                <c:pt idx="17">
                  <c:v>0.87000000000000111</c:v>
                </c:pt>
                <c:pt idx="18">
                  <c:v>0.88520000000000243</c:v>
                </c:pt>
                <c:pt idx="19">
                  <c:v>0.9024000000000002</c:v>
                </c:pt>
                <c:pt idx="20">
                  <c:v>0.87399999999999622</c:v>
                </c:pt>
                <c:pt idx="21">
                  <c:v>0.88640000000000196</c:v>
                </c:pt>
                <c:pt idx="22">
                  <c:v>0.89959999999999962</c:v>
                </c:pt>
                <c:pt idx="23">
                  <c:v>0.92560000000000087</c:v>
                </c:pt>
                <c:pt idx="24">
                  <c:v>0.88440000000000218</c:v>
                </c:pt>
                <c:pt idx="25">
                  <c:v>0.83839999999999837</c:v>
                </c:pt>
                <c:pt idx="26">
                  <c:v>0.8887999999999977</c:v>
                </c:pt>
                <c:pt idx="27">
                  <c:v>0.85120000000000007</c:v>
                </c:pt>
                <c:pt idx="28">
                  <c:v>0.85000000000000264</c:v>
                </c:pt>
                <c:pt idx="29">
                  <c:v>0.82399999999999585</c:v>
                </c:pt>
                <c:pt idx="30">
                  <c:v>0.81640000000000224</c:v>
                </c:pt>
                <c:pt idx="31">
                  <c:v>0.8436000000000029</c:v>
                </c:pt>
                <c:pt idx="32">
                  <c:v>0.7471999999999972</c:v>
                </c:pt>
                <c:pt idx="33">
                  <c:v>0.76520000000000188</c:v>
                </c:pt>
                <c:pt idx="34">
                  <c:v>0.75039999999999596</c:v>
                </c:pt>
                <c:pt idx="35">
                  <c:v>0.72040000000000359</c:v>
                </c:pt>
                <c:pt idx="36">
                  <c:v>0.70280000000000142</c:v>
                </c:pt>
                <c:pt idx="37">
                  <c:v>0.7467999999999968</c:v>
                </c:pt>
                <c:pt idx="38">
                  <c:v>0.74920000000000142</c:v>
                </c:pt>
                <c:pt idx="39">
                  <c:v>0.61599999999999655</c:v>
                </c:pt>
                <c:pt idx="40">
                  <c:v>0.5936000000000029</c:v>
                </c:pt>
                <c:pt idx="41">
                  <c:v>0.59360000000000179</c:v>
                </c:pt>
                <c:pt idx="42">
                  <c:v>0.5915999999999968</c:v>
                </c:pt>
                <c:pt idx="43">
                  <c:v>0.52240000000000253</c:v>
                </c:pt>
                <c:pt idx="44">
                  <c:v>0.47199999999999659</c:v>
                </c:pt>
                <c:pt idx="45">
                  <c:v>0.47160000000000257</c:v>
                </c:pt>
                <c:pt idx="46">
                  <c:v>0.48840000000000167</c:v>
                </c:pt>
                <c:pt idx="47">
                  <c:v>0.35519999999999807</c:v>
                </c:pt>
                <c:pt idx="48">
                  <c:v>0.43720000000000137</c:v>
                </c:pt>
                <c:pt idx="49">
                  <c:v>0.34759999999999774</c:v>
                </c:pt>
                <c:pt idx="50">
                  <c:v>0.30480000000000118</c:v>
                </c:pt>
                <c:pt idx="51">
                  <c:v>0.33200000000000124</c:v>
                </c:pt>
                <c:pt idx="52">
                  <c:v>0.34399999999999803</c:v>
                </c:pt>
                <c:pt idx="53">
                  <c:v>0.25240000000000357</c:v>
                </c:pt>
                <c:pt idx="54">
                  <c:v>0.33639999999999826</c:v>
                </c:pt>
                <c:pt idx="55">
                  <c:v>0.34040000000000081</c:v>
                </c:pt>
                <c:pt idx="56">
                  <c:v>0.30159999999999859</c:v>
                </c:pt>
                <c:pt idx="57">
                  <c:v>0.24360000000000079</c:v>
                </c:pt>
                <c:pt idx="58">
                  <c:v>0.3112000000000012</c:v>
                </c:pt>
                <c:pt idx="59">
                  <c:v>0.28839999999999849</c:v>
                </c:pt>
                <c:pt idx="60">
                  <c:v>0.22120000000000078</c:v>
                </c:pt>
                <c:pt idx="61">
                  <c:v>0.2931999999999983</c:v>
                </c:pt>
                <c:pt idx="62">
                  <c:v>0.13920000000000052</c:v>
                </c:pt>
                <c:pt idx="63">
                  <c:v>0.21040000000000078</c:v>
                </c:pt>
                <c:pt idx="64">
                  <c:v>0.1759999999999991</c:v>
                </c:pt>
                <c:pt idx="65">
                  <c:v>0.17840000000000059</c:v>
                </c:pt>
                <c:pt idx="66">
                  <c:v>0.13719999999999929</c:v>
                </c:pt>
                <c:pt idx="67">
                  <c:v>4.1200000000000132E-2</c:v>
                </c:pt>
                <c:pt idx="68">
                  <c:v>5.3600000000000189E-2</c:v>
                </c:pt>
                <c:pt idx="69">
                  <c:v>4.760000000000017E-2</c:v>
                </c:pt>
                <c:pt idx="70">
                  <c:v>1.5999999999999771E-2</c:v>
                </c:pt>
                <c:pt idx="71">
                  <c:v>2.5600000000000091E-2</c:v>
                </c:pt>
                <c:pt idx="72">
                  <c:v>2.5600000000000091E-2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A-4EDD-8856-EF5037D47834}"/>
            </c:ext>
          </c:extLst>
        </c:ser>
        <c:ser>
          <c:idx val="1"/>
          <c:order val="1"/>
          <c:tx>
            <c:strRef>
              <c:f>'Voxel-Size-Comparison'!$F$2:$I$2</c:f>
              <c:strCache>
                <c:ptCount val="1"/>
                <c:pt idx="0">
                  <c:v>PoreBlazer L = 1.0 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'Voxel-Size-Comparison'!$G$4:$G$93</c:f>
              <c:numCache>
                <c:formatCode>General</c:formatCode>
                <c:ptCount val="9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</c:numCache>
            </c:numRef>
          </c:xVal>
          <c:yVal>
            <c:numRef>
              <c:f>'Voxel-Size-Comparison'!$I$4:$I$93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6.3160000000017664E-3</c:v>
                </c:pt>
                <c:pt idx="10">
                  <c:v>6.3160000000017664E-3</c:v>
                </c:pt>
                <c:pt idx="11">
                  <c:v>5.0535999999996542E-2</c:v>
                </c:pt>
                <c:pt idx="12">
                  <c:v>0.18951200000000082</c:v>
                </c:pt>
                <c:pt idx="13">
                  <c:v>0.65066400000000024</c:v>
                </c:pt>
                <c:pt idx="14">
                  <c:v>0.70120000000000271</c:v>
                </c:pt>
                <c:pt idx="15">
                  <c:v>1.0360079999999963</c:v>
                </c:pt>
                <c:pt idx="16">
                  <c:v>0.71383600000000258</c:v>
                </c:pt>
                <c:pt idx="17">
                  <c:v>0.70119999999999827</c:v>
                </c:pt>
                <c:pt idx="18">
                  <c:v>0.2779560000000012</c:v>
                </c:pt>
                <c:pt idx="19">
                  <c:v>1.1054920000000006</c:v>
                </c:pt>
                <c:pt idx="20">
                  <c:v>0.94125200000000042</c:v>
                </c:pt>
                <c:pt idx="21">
                  <c:v>1.1118119999999978</c:v>
                </c:pt>
                <c:pt idx="22">
                  <c:v>0.63171200000000149</c:v>
                </c:pt>
                <c:pt idx="23">
                  <c:v>0.62539600000000251</c:v>
                </c:pt>
                <c:pt idx="24">
                  <c:v>0.60012799999999922</c:v>
                </c:pt>
                <c:pt idx="25">
                  <c:v>0.68856399999999973</c:v>
                </c:pt>
                <c:pt idx="26">
                  <c:v>0.795955999999997</c:v>
                </c:pt>
                <c:pt idx="27">
                  <c:v>0.89071599999999951</c:v>
                </c:pt>
                <c:pt idx="28">
                  <c:v>0.73278400000000221</c:v>
                </c:pt>
                <c:pt idx="29">
                  <c:v>0.70120000000000116</c:v>
                </c:pt>
                <c:pt idx="30">
                  <c:v>0.82754399999999706</c:v>
                </c:pt>
                <c:pt idx="31">
                  <c:v>1.029688000000001</c:v>
                </c:pt>
                <c:pt idx="32">
                  <c:v>0.87808399999999598</c:v>
                </c:pt>
                <c:pt idx="33">
                  <c:v>0.56222000000000194</c:v>
                </c:pt>
                <c:pt idx="34">
                  <c:v>0.91598400000000002</c:v>
                </c:pt>
                <c:pt idx="35">
                  <c:v>0.73910000000000076</c:v>
                </c:pt>
                <c:pt idx="36">
                  <c:v>0.69488799999999729</c:v>
                </c:pt>
                <c:pt idx="37">
                  <c:v>0.67592800000000286</c:v>
                </c:pt>
                <c:pt idx="38">
                  <c:v>0.89071600000000128</c:v>
                </c:pt>
                <c:pt idx="39">
                  <c:v>1.1433959999999999</c:v>
                </c:pt>
                <c:pt idx="40">
                  <c:v>0.7201519999999999</c:v>
                </c:pt>
                <c:pt idx="41">
                  <c:v>0.76437200000000249</c:v>
                </c:pt>
                <c:pt idx="42">
                  <c:v>0.865443999999995</c:v>
                </c:pt>
                <c:pt idx="43">
                  <c:v>1.0423240000000027</c:v>
                </c:pt>
                <c:pt idx="44">
                  <c:v>0.75805599999999629</c:v>
                </c:pt>
                <c:pt idx="45">
                  <c:v>0.78964000000000312</c:v>
                </c:pt>
                <c:pt idx="46">
                  <c:v>0.6948840000000025</c:v>
                </c:pt>
                <c:pt idx="47">
                  <c:v>0.8780799999999942</c:v>
                </c:pt>
                <c:pt idx="48">
                  <c:v>0.53063600000000399</c:v>
                </c:pt>
                <c:pt idx="49">
                  <c:v>0.45483599999999602</c:v>
                </c:pt>
                <c:pt idx="50">
                  <c:v>0.6822480000000033</c:v>
                </c:pt>
                <c:pt idx="51">
                  <c:v>0.62539200000000128</c:v>
                </c:pt>
                <c:pt idx="52">
                  <c:v>0.77068799999999638</c:v>
                </c:pt>
                <c:pt idx="53">
                  <c:v>0.42956800000000167</c:v>
                </c:pt>
                <c:pt idx="54">
                  <c:v>0.87175999999999565</c:v>
                </c:pt>
                <c:pt idx="55">
                  <c:v>0.52432000000000112</c:v>
                </c:pt>
                <c:pt idx="56">
                  <c:v>0.39166400000000184</c:v>
                </c:pt>
                <c:pt idx="57">
                  <c:v>0.62539199999999684</c:v>
                </c:pt>
                <c:pt idx="58">
                  <c:v>0.38534400000000107</c:v>
                </c:pt>
                <c:pt idx="59">
                  <c:v>0.40429599999999738</c:v>
                </c:pt>
                <c:pt idx="60">
                  <c:v>0.55590800000000251</c:v>
                </c:pt>
                <c:pt idx="61">
                  <c:v>1.2444724400000045</c:v>
                </c:pt>
                <c:pt idx="62">
                  <c:v>0.15792787999999919</c:v>
                </c:pt>
                <c:pt idx="63">
                  <c:v>0.14529380000000033</c:v>
                </c:pt>
                <c:pt idx="64">
                  <c:v>0.32849039999999818</c:v>
                </c:pt>
                <c:pt idx="65">
                  <c:v>0.18951360000000095</c:v>
                </c:pt>
                <c:pt idx="66">
                  <c:v>0.12002524000000002</c:v>
                </c:pt>
                <c:pt idx="67">
                  <c:v>6.3171119999999803E-2</c:v>
                </c:pt>
                <c:pt idx="68">
                  <c:v>0.46114964000000175</c:v>
                </c:pt>
                <c:pt idx="69">
                  <c:v>0.29690459999999841</c:v>
                </c:pt>
                <c:pt idx="70">
                  <c:v>0.61907768000000218</c:v>
                </c:pt>
                <c:pt idx="71">
                  <c:v>4.421980000000008E-2</c:v>
                </c:pt>
                <c:pt idx="72">
                  <c:v>1.8951359999999955E-2</c:v>
                </c:pt>
                <c:pt idx="73">
                  <c:v>6.3171240000000156E-2</c:v>
                </c:pt>
                <c:pt idx="74">
                  <c:v>2.5268439999999868E-2</c:v>
                </c:pt>
                <c:pt idx="75">
                  <c:v>6.3171240000000295E-2</c:v>
                </c:pt>
                <c:pt idx="76">
                  <c:v>2.5268399999999976E-2</c:v>
                </c:pt>
                <c:pt idx="77">
                  <c:v>5.0536999999999811E-2</c:v>
                </c:pt>
                <c:pt idx="78">
                  <c:v>6.3171160000000198E-2</c:v>
                </c:pt>
                <c:pt idx="79">
                  <c:v>0</c:v>
                </c:pt>
                <c:pt idx="80">
                  <c:v>5.6854120000000209E-2</c:v>
                </c:pt>
                <c:pt idx="81">
                  <c:v>4.4219800000000219E-2</c:v>
                </c:pt>
                <c:pt idx="82">
                  <c:v>0.63802904000000216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EA-4EDD-8856-EF5037D47834}"/>
            </c:ext>
          </c:extLst>
        </c:ser>
        <c:ser>
          <c:idx val="2"/>
          <c:order val="2"/>
          <c:tx>
            <c:strRef>
              <c:f>'Voxel-Size-Comparison'!$K$2:$N$2</c:f>
              <c:strCache>
                <c:ptCount val="1"/>
                <c:pt idx="0">
                  <c:v>PrO-VAT L = 0.5 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'Voxel-Size-Comparison'!$L$4:$L$93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'Voxel-Size-Comparison'!$N$4:$N$93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0.22479999999999864</c:v>
                </c:pt>
                <c:pt idx="3">
                  <c:v>0.68440000000000223</c:v>
                </c:pt>
                <c:pt idx="4">
                  <c:v>0.78599999999999715</c:v>
                </c:pt>
                <c:pt idx="5">
                  <c:v>0.83280000000000165</c:v>
                </c:pt>
                <c:pt idx="6">
                  <c:v>0.83439999999999881</c:v>
                </c:pt>
                <c:pt idx="7">
                  <c:v>0.842799999999998</c:v>
                </c:pt>
                <c:pt idx="8">
                  <c:v>0.83640000000000303</c:v>
                </c:pt>
                <c:pt idx="9">
                  <c:v>0.82599999999999896</c:v>
                </c:pt>
                <c:pt idx="10">
                  <c:v>0.82520000000000071</c:v>
                </c:pt>
                <c:pt idx="11">
                  <c:v>0.83319999999999983</c:v>
                </c:pt>
                <c:pt idx="12">
                  <c:v>0.83039999999999925</c:v>
                </c:pt>
                <c:pt idx="13">
                  <c:v>0.84040000000000192</c:v>
                </c:pt>
                <c:pt idx="14">
                  <c:v>0.81999999999999773</c:v>
                </c:pt>
                <c:pt idx="15">
                  <c:v>0.82120000000000115</c:v>
                </c:pt>
                <c:pt idx="16">
                  <c:v>0.83479999999999699</c:v>
                </c:pt>
                <c:pt idx="17">
                  <c:v>0.83760000000000201</c:v>
                </c:pt>
                <c:pt idx="18">
                  <c:v>0.8424000000000017</c:v>
                </c:pt>
                <c:pt idx="19">
                  <c:v>0.84999999999999887</c:v>
                </c:pt>
                <c:pt idx="20">
                  <c:v>0.83400000000000063</c:v>
                </c:pt>
                <c:pt idx="21">
                  <c:v>0.86039999999999595</c:v>
                </c:pt>
                <c:pt idx="22">
                  <c:v>0.86359999999999915</c:v>
                </c:pt>
                <c:pt idx="23">
                  <c:v>0.86840000000000339</c:v>
                </c:pt>
                <c:pt idx="24">
                  <c:v>0.86080000000000301</c:v>
                </c:pt>
                <c:pt idx="25">
                  <c:v>0.85359999999999581</c:v>
                </c:pt>
                <c:pt idx="26">
                  <c:v>0.83480000000000143</c:v>
                </c:pt>
                <c:pt idx="27">
                  <c:v>0.85039999999999927</c:v>
                </c:pt>
                <c:pt idx="28">
                  <c:v>0.82160000000000299</c:v>
                </c:pt>
                <c:pt idx="29">
                  <c:v>0.80119999999999547</c:v>
                </c:pt>
                <c:pt idx="30">
                  <c:v>0.81400000000000206</c:v>
                </c:pt>
                <c:pt idx="31">
                  <c:v>0.8108000000000033</c:v>
                </c:pt>
                <c:pt idx="32">
                  <c:v>0.78119999999999556</c:v>
                </c:pt>
                <c:pt idx="33">
                  <c:v>0.73880000000000212</c:v>
                </c:pt>
                <c:pt idx="34">
                  <c:v>0.73279999999999623</c:v>
                </c:pt>
                <c:pt idx="35">
                  <c:v>0.74080000000000412</c:v>
                </c:pt>
                <c:pt idx="36">
                  <c:v>0.70480000000000131</c:v>
                </c:pt>
                <c:pt idx="37">
                  <c:v>0.72159999999999613</c:v>
                </c:pt>
                <c:pt idx="38">
                  <c:v>0.67560000000000309</c:v>
                </c:pt>
                <c:pt idx="39">
                  <c:v>0.68919999999999615</c:v>
                </c:pt>
                <c:pt idx="40">
                  <c:v>0.61880000000000157</c:v>
                </c:pt>
                <c:pt idx="41">
                  <c:v>0.55440000000000245</c:v>
                </c:pt>
                <c:pt idx="42">
                  <c:v>0.65919999999999623</c:v>
                </c:pt>
                <c:pt idx="43">
                  <c:v>0.57480000000000175</c:v>
                </c:pt>
                <c:pt idx="44">
                  <c:v>0.48599999999999827</c:v>
                </c:pt>
                <c:pt idx="45">
                  <c:v>0.45920000000000122</c:v>
                </c:pt>
                <c:pt idx="46">
                  <c:v>0.45280000000000148</c:v>
                </c:pt>
                <c:pt idx="47">
                  <c:v>0.47839999999999738</c:v>
                </c:pt>
                <c:pt idx="48">
                  <c:v>0.37760000000000149</c:v>
                </c:pt>
                <c:pt idx="49">
                  <c:v>0.39719999999999822</c:v>
                </c:pt>
                <c:pt idx="50">
                  <c:v>0.31640000000000112</c:v>
                </c:pt>
                <c:pt idx="51">
                  <c:v>0.33840000000000103</c:v>
                </c:pt>
                <c:pt idx="52">
                  <c:v>0.27239999999999842</c:v>
                </c:pt>
                <c:pt idx="53">
                  <c:v>0.29960000000000359</c:v>
                </c:pt>
                <c:pt idx="54">
                  <c:v>0.30839999999999868</c:v>
                </c:pt>
                <c:pt idx="55">
                  <c:v>0.28480000000000105</c:v>
                </c:pt>
                <c:pt idx="56">
                  <c:v>0.29399999999999826</c:v>
                </c:pt>
                <c:pt idx="57">
                  <c:v>0.33640000000000125</c:v>
                </c:pt>
                <c:pt idx="58">
                  <c:v>0.25160000000000077</c:v>
                </c:pt>
                <c:pt idx="59">
                  <c:v>0.30799999999999828</c:v>
                </c:pt>
                <c:pt idx="60">
                  <c:v>0.26320000000000104</c:v>
                </c:pt>
                <c:pt idx="61">
                  <c:v>0.26719999999999849</c:v>
                </c:pt>
                <c:pt idx="62">
                  <c:v>0.1556000000000006</c:v>
                </c:pt>
                <c:pt idx="63">
                  <c:v>0.24520000000000086</c:v>
                </c:pt>
                <c:pt idx="64">
                  <c:v>0.26439999999999864</c:v>
                </c:pt>
                <c:pt idx="65">
                  <c:v>0.21400000000000072</c:v>
                </c:pt>
                <c:pt idx="66">
                  <c:v>0.17039999999999914</c:v>
                </c:pt>
                <c:pt idx="67">
                  <c:v>5.0800000000000192E-2</c:v>
                </c:pt>
                <c:pt idx="68">
                  <c:v>3.00000000000001E-2</c:v>
                </c:pt>
                <c:pt idx="69">
                  <c:v>4.0800000000000149E-2</c:v>
                </c:pt>
                <c:pt idx="70">
                  <c:v>5.479999999999921E-2</c:v>
                </c:pt>
                <c:pt idx="71">
                  <c:v>3.0400000000000118E-2</c:v>
                </c:pt>
                <c:pt idx="72">
                  <c:v>5.8400000000000202E-2</c:v>
                </c:pt>
                <c:pt idx="73">
                  <c:v>2.520000000000009E-2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EA-4EDD-8856-EF5037D47834}"/>
            </c:ext>
          </c:extLst>
        </c:ser>
        <c:ser>
          <c:idx val="3"/>
          <c:order val="3"/>
          <c:tx>
            <c:strRef>
              <c:f>'Voxel-Size-Comparison'!$P$2:$S$2</c:f>
              <c:strCache>
                <c:ptCount val="1"/>
                <c:pt idx="0">
                  <c:v>PoreBlazer L = 0.5 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'Voxel-Size-Comparison'!$Q$4:$Q$93</c:f>
              <c:numCache>
                <c:formatCode>General</c:formatCode>
                <c:ptCount val="9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</c:numCache>
            </c:numRef>
          </c:xVal>
          <c:yVal>
            <c:numRef>
              <c:f>'Voxel-Size-Comparison'!$S$4:$S$93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7.0163999999999241E-2</c:v>
                </c:pt>
                <c:pt idx="11">
                  <c:v>9.9400000000002736E-2</c:v>
                </c:pt>
                <c:pt idx="12">
                  <c:v>0.18710799999999608</c:v>
                </c:pt>
                <c:pt idx="13">
                  <c:v>0.60224800000000245</c:v>
                </c:pt>
                <c:pt idx="14">
                  <c:v>0.92969199999999874</c:v>
                </c:pt>
                <c:pt idx="15">
                  <c:v>0.87121600000000055</c:v>
                </c:pt>
                <c:pt idx="16">
                  <c:v>1.1752679999999971</c:v>
                </c:pt>
                <c:pt idx="17">
                  <c:v>0.61979200000000201</c:v>
                </c:pt>
                <c:pt idx="18">
                  <c:v>0.91214799999999852</c:v>
                </c:pt>
                <c:pt idx="19">
                  <c:v>1.1167960000000015</c:v>
                </c:pt>
                <c:pt idx="20">
                  <c:v>0.6958039999999992</c:v>
                </c:pt>
                <c:pt idx="21">
                  <c:v>0.71334800000000187</c:v>
                </c:pt>
                <c:pt idx="22">
                  <c:v>0.73088399999999987</c:v>
                </c:pt>
                <c:pt idx="23">
                  <c:v>0.6958080000000002</c:v>
                </c:pt>
                <c:pt idx="24">
                  <c:v>0.64902799999999983</c:v>
                </c:pt>
                <c:pt idx="25">
                  <c:v>0.76596799999999843</c:v>
                </c:pt>
                <c:pt idx="26">
                  <c:v>0.78936000000000051</c:v>
                </c:pt>
                <c:pt idx="27">
                  <c:v>0.7542759999999975</c:v>
                </c:pt>
                <c:pt idx="28">
                  <c:v>0.74842800000000587</c:v>
                </c:pt>
                <c:pt idx="29">
                  <c:v>0.55547199999999863</c:v>
                </c:pt>
                <c:pt idx="30">
                  <c:v>0.91799599999999792</c:v>
                </c:pt>
                <c:pt idx="31">
                  <c:v>0.82444000000000106</c:v>
                </c:pt>
                <c:pt idx="32">
                  <c:v>0.67826399999999898</c:v>
                </c:pt>
                <c:pt idx="33">
                  <c:v>0.74842800000000143</c:v>
                </c:pt>
                <c:pt idx="34">
                  <c:v>0.67241599999999957</c:v>
                </c:pt>
                <c:pt idx="35">
                  <c:v>0.79520799999999991</c:v>
                </c:pt>
                <c:pt idx="36">
                  <c:v>0.71334399999999953</c:v>
                </c:pt>
                <c:pt idx="37">
                  <c:v>0.61394400000000127</c:v>
                </c:pt>
                <c:pt idx="38">
                  <c:v>0.66072400000000153</c:v>
                </c:pt>
                <c:pt idx="39">
                  <c:v>0.82443999999999884</c:v>
                </c:pt>
                <c:pt idx="40">
                  <c:v>0.82443999999999884</c:v>
                </c:pt>
                <c:pt idx="41">
                  <c:v>0.79520800000000336</c:v>
                </c:pt>
                <c:pt idx="42">
                  <c:v>0.82443999999999518</c:v>
                </c:pt>
                <c:pt idx="43">
                  <c:v>1.0173960000000029</c:v>
                </c:pt>
                <c:pt idx="44">
                  <c:v>0.906299999999995</c:v>
                </c:pt>
                <c:pt idx="45">
                  <c:v>0.64902800000000271</c:v>
                </c:pt>
                <c:pt idx="46">
                  <c:v>0.64902800000000271</c:v>
                </c:pt>
                <c:pt idx="47">
                  <c:v>0.64317999999999531</c:v>
                </c:pt>
                <c:pt idx="48">
                  <c:v>0.549628000000004</c:v>
                </c:pt>
                <c:pt idx="49">
                  <c:v>0.59055599999999675</c:v>
                </c:pt>
                <c:pt idx="50">
                  <c:v>0.54378000000000004</c:v>
                </c:pt>
                <c:pt idx="51">
                  <c:v>0.75427600000000306</c:v>
                </c:pt>
                <c:pt idx="52">
                  <c:v>0.57301599999999753</c:v>
                </c:pt>
                <c:pt idx="53">
                  <c:v>0.74258000000000313</c:v>
                </c:pt>
                <c:pt idx="54">
                  <c:v>0.48531199999999736</c:v>
                </c:pt>
                <c:pt idx="55">
                  <c:v>0.61394400000000182</c:v>
                </c:pt>
                <c:pt idx="56">
                  <c:v>0.66072400000000264</c:v>
                </c:pt>
                <c:pt idx="57">
                  <c:v>0.6314839999999966</c:v>
                </c:pt>
                <c:pt idx="58">
                  <c:v>0.53793200000000174</c:v>
                </c:pt>
                <c:pt idx="59">
                  <c:v>0.50869999999999704</c:v>
                </c:pt>
                <c:pt idx="60">
                  <c:v>0.18710800000000094</c:v>
                </c:pt>
                <c:pt idx="61">
                  <c:v>0.7542760000000025</c:v>
                </c:pt>
                <c:pt idx="62">
                  <c:v>0.77766243999999574</c:v>
                </c:pt>
                <c:pt idx="63">
                  <c:v>0.43853252000000165</c:v>
                </c:pt>
                <c:pt idx="64">
                  <c:v>0.1461774399999991</c:v>
                </c:pt>
                <c:pt idx="65">
                  <c:v>0.33328444000000129</c:v>
                </c:pt>
                <c:pt idx="66">
                  <c:v>9.9400880000000483E-2</c:v>
                </c:pt>
                <c:pt idx="67">
                  <c:v>0.18710699999999897</c:v>
                </c:pt>
                <c:pt idx="68">
                  <c:v>0.15202464000000052</c:v>
                </c:pt>
                <c:pt idx="69">
                  <c:v>0.12278899999999916</c:v>
                </c:pt>
                <c:pt idx="70">
                  <c:v>0.68995772000000255</c:v>
                </c:pt>
                <c:pt idx="71">
                  <c:v>0.45607368000000159</c:v>
                </c:pt>
                <c:pt idx="72">
                  <c:v>1.7541279999999982E-2</c:v>
                </c:pt>
                <c:pt idx="73">
                  <c:v>2.3388400000000031E-2</c:v>
                </c:pt>
                <c:pt idx="74">
                  <c:v>5.8470959999999648E-2</c:v>
                </c:pt>
                <c:pt idx="75">
                  <c:v>2.9235480000000223E-2</c:v>
                </c:pt>
                <c:pt idx="76">
                  <c:v>4.0929680000000031E-2</c:v>
                </c:pt>
                <c:pt idx="77">
                  <c:v>2.9235479999999963E-2</c:v>
                </c:pt>
                <c:pt idx="78">
                  <c:v>1.7541359999999957E-2</c:v>
                </c:pt>
                <c:pt idx="79">
                  <c:v>4.0929679999999809E-2</c:v>
                </c:pt>
                <c:pt idx="80">
                  <c:v>9.3553600000000403E-2</c:v>
                </c:pt>
                <c:pt idx="81">
                  <c:v>3.5082560000000138E-2</c:v>
                </c:pt>
                <c:pt idx="82">
                  <c:v>2.3388400000000031E-2</c:v>
                </c:pt>
                <c:pt idx="83">
                  <c:v>2.9235479999999564E-2</c:v>
                </c:pt>
                <c:pt idx="84">
                  <c:v>0.58470988000000212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EA-4EDD-8856-EF5037D4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20000000000000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6</xdr:row>
      <xdr:rowOff>4761</xdr:rowOff>
    </xdr:from>
    <xdr:to>
      <xdr:col>14</xdr:col>
      <xdr:colOff>352424</xdr:colOff>
      <xdr:row>35</xdr:row>
      <xdr:rowOff>155256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452871</xdr:colOff>
      <xdr:row>5</xdr:row>
      <xdr:rowOff>148937</xdr:rowOff>
    </xdr:from>
    <xdr:to>
      <xdr:col>27</xdr:col>
      <xdr:colOff>143742</xdr:colOff>
      <xdr:row>35</xdr:row>
      <xdr:rowOff>108932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0DEAF7-F2D0-43EB-896D-3F2FEC365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504825</xdr:colOff>
      <xdr:row>36</xdr:row>
      <xdr:rowOff>57150</xdr:rowOff>
    </xdr:from>
    <xdr:to>
      <xdr:col>27</xdr:col>
      <xdr:colOff>195696</xdr:colOff>
      <xdr:row>66</xdr:row>
      <xdr:rowOff>17145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2B27D5-0849-45B2-97B1-597FD5EA4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2</xdr:row>
      <xdr:rowOff>57150</xdr:rowOff>
    </xdr:from>
    <xdr:to>
      <xdr:col>18</xdr:col>
      <xdr:colOff>390525</xdr:colOff>
      <xdr:row>32</xdr:row>
      <xdr:rowOff>17145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4BAB9D-77E5-4DC0-8B89-6573D3CBA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476250</xdr:colOff>
      <xdr:row>2</xdr:row>
      <xdr:rowOff>38100</xdr:rowOff>
    </xdr:from>
    <xdr:to>
      <xdr:col>34</xdr:col>
      <xdr:colOff>180975</xdr:colOff>
      <xdr:row>31</xdr:row>
      <xdr:rowOff>188595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23BF5-BDC1-4524-87F1-7EA6C58DD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3</xdr:row>
      <xdr:rowOff>104775</xdr:rowOff>
    </xdr:from>
    <xdr:to>
      <xdr:col>18</xdr:col>
      <xdr:colOff>0</xdr:colOff>
      <xdr:row>33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26294-9A44-4FA4-B421-B75B66AFC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4</xdr:row>
      <xdr:rowOff>57150</xdr:rowOff>
    </xdr:from>
    <xdr:to>
      <xdr:col>19</xdr:col>
      <xdr:colOff>428625</xdr:colOff>
      <xdr:row>34</xdr:row>
      <xdr:rowOff>17145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20BD2-E91D-4BA1-A5B6-FC3C11D6C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R202"/>
  <sheetViews>
    <sheetView tabSelected="1" zoomScaleNormal="100" workbookViewId="0">
      <selection activeCell="D3" sqref="D3"/>
    </sheetView>
  </sheetViews>
  <sheetFormatPr defaultRowHeight="15" x14ac:dyDescent="0.25"/>
  <cols>
    <col min="3" max="3" width="14.85546875" bestFit="1" customWidth="1"/>
    <col min="8" max="8" width="14.85546875" bestFit="1" customWidth="1"/>
    <col min="16" max="16" width="36.7109375" bestFit="1" customWidth="1"/>
  </cols>
  <sheetData>
    <row r="1" spans="1:18" x14ac:dyDescent="0.25">
      <c r="A1" s="5" t="s">
        <v>22</v>
      </c>
      <c r="B1" s="5"/>
      <c r="C1" s="5"/>
      <c r="D1" s="5"/>
      <c r="E1" s="2"/>
      <c r="F1" s="5" t="s">
        <v>25</v>
      </c>
      <c r="G1" s="5"/>
      <c r="H1" s="5"/>
      <c r="I1" s="5"/>
      <c r="K1" s="5" t="s">
        <v>23</v>
      </c>
      <c r="L1" s="5"/>
      <c r="M1" s="5"/>
      <c r="N1" s="5"/>
      <c r="P1" s="5" t="s">
        <v>15</v>
      </c>
      <c r="Q1" s="5"/>
      <c r="R1" s="5"/>
    </row>
    <row r="2" spans="1:18" x14ac:dyDescent="0.25">
      <c r="A2" t="s">
        <v>3</v>
      </c>
      <c r="B2" t="s">
        <v>2</v>
      </c>
      <c r="C2" t="s">
        <v>0</v>
      </c>
      <c r="D2" t="s">
        <v>1</v>
      </c>
      <c r="F2" t="s">
        <v>3</v>
      </c>
      <c r="G2" t="s">
        <v>2</v>
      </c>
      <c r="H2" t="s">
        <v>0</v>
      </c>
      <c r="I2" t="s">
        <v>1</v>
      </c>
      <c r="K2" t="s">
        <v>3</v>
      </c>
      <c r="L2" t="s">
        <v>2</v>
      </c>
      <c r="M2" t="s">
        <v>4</v>
      </c>
      <c r="N2" t="s">
        <v>5</v>
      </c>
      <c r="P2" t="str">
        <f>A1</f>
        <v>PrO-VAT, 1 Frame</v>
      </c>
      <c r="Q2" s="4" t="s">
        <v>18</v>
      </c>
      <c r="R2" t="s">
        <v>12</v>
      </c>
    </row>
    <row r="3" spans="1:18" x14ac:dyDescent="0.25">
      <c r="A3">
        <v>0</v>
      </c>
      <c r="B3">
        <f>A3/10</f>
        <v>0</v>
      </c>
      <c r="C3">
        <v>1</v>
      </c>
      <c r="D3">
        <v>0</v>
      </c>
      <c r="F3">
        <v>0</v>
      </c>
      <c r="G3">
        <f>F3/10</f>
        <v>0</v>
      </c>
      <c r="H3">
        <v>1</v>
      </c>
      <c r="I3">
        <v>0</v>
      </c>
      <c r="K3">
        <v>0</v>
      </c>
      <c r="L3">
        <f>K3/10</f>
        <v>0</v>
      </c>
      <c r="M3">
        <v>0.99999990000000005</v>
      </c>
      <c r="N3">
        <v>0</v>
      </c>
      <c r="P3" t="str">
        <f>F1</f>
        <v>PrO-VAT, 1 Frame, 8 (Random) Analyses</v>
      </c>
      <c r="Q3" s="4" t="s">
        <v>26</v>
      </c>
      <c r="R3" t="s">
        <v>12</v>
      </c>
    </row>
    <row r="4" spans="1:18" x14ac:dyDescent="0.25">
      <c r="A4">
        <v>3.15</v>
      </c>
      <c r="B4">
        <f t="shared" ref="B4:B67" si="0">A4/10</f>
        <v>0.315</v>
      </c>
      <c r="C4">
        <v>1</v>
      </c>
      <c r="D4">
        <f>(C3-C4)/(B4-B3)</f>
        <v>0</v>
      </c>
      <c r="F4">
        <v>3.15</v>
      </c>
      <c r="G4">
        <f t="shared" ref="G4:G67" si="1">F4/10</f>
        <v>0.315</v>
      </c>
      <c r="H4">
        <v>1</v>
      </c>
      <c r="I4">
        <f>(H3-H4)/(G4-G3)</f>
        <v>0</v>
      </c>
      <c r="K4">
        <v>0.25</v>
      </c>
      <c r="L4">
        <f t="shared" ref="L4:L67" si="2">K4/10</f>
        <v>2.5000000000000001E-2</v>
      </c>
      <c r="M4">
        <v>0.99999990000000005</v>
      </c>
      <c r="N4">
        <f>(M3-M4)/(L4-L3)</f>
        <v>0</v>
      </c>
      <c r="P4" t="str">
        <f>K1</f>
        <v>PoreBlazer, 1 Frame</v>
      </c>
      <c r="Q4" s="4" t="s">
        <v>17</v>
      </c>
      <c r="R4" t="s">
        <v>12</v>
      </c>
    </row>
    <row r="5" spans="1:18" x14ac:dyDescent="0.25">
      <c r="A5">
        <v>3.4</v>
      </c>
      <c r="B5">
        <f t="shared" si="0"/>
        <v>0.33999999999999997</v>
      </c>
      <c r="C5">
        <v>0.99283999999999994</v>
      </c>
      <c r="D5">
        <f t="shared" ref="D5:D68" si="3">(C4-C5)/(B5-B4)</f>
        <v>0.2864000000000026</v>
      </c>
      <c r="F5">
        <v>3.4</v>
      </c>
      <c r="G5">
        <f t="shared" si="1"/>
        <v>0.33999999999999997</v>
      </c>
      <c r="H5">
        <v>0.99443999999999999</v>
      </c>
      <c r="I5">
        <f t="shared" ref="I5:I68" si="4">(H4-H5)/(G5-G4)</f>
        <v>0.22240000000000068</v>
      </c>
      <c r="K5">
        <v>0.5</v>
      </c>
      <c r="L5">
        <f t="shared" si="2"/>
        <v>0.05</v>
      </c>
      <c r="M5">
        <v>0.99999990000000005</v>
      </c>
      <c r="N5">
        <f t="shared" ref="N5:N68" si="5">(M4-M5)/(L5-L4)</f>
        <v>0</v>
      </c>
    </row>
    <row r="6" spans="1:18" x14ac:dyDescent="0.25">
      <c r="A6">
        <v>3.65</v>
      </c>
      <c r="B6">
        <f t="shared" si="0"/>
        <v>0.36499999999999999</v>
      </c>
      <c r="C6">
        <v>0.97953999999999997</v>
      </c>
      <c r="D6">
        <f t="shared" si="3"/>
        <v>0.5319999999999987</v>
      </c>
      <c r="F6">
        <v>3.65</v>
      </c>
      <c r="G6">
        <f t="shared" si="1"/>
        <v>0.36499999999999999</v>
      </c>
      <c r="H6">
        <v>0.97831999999999997</v>
      </c>
      <c r="I6">
        <f t="shared" si="4"/>
        <v>0.64480000000000037</v>
      </c>
      <c r="K6">
        <v>0.75</v>
      </c>
      <c r="L6">
        <f t="shared" si="2"/>
        <v>7.4999999999999997E-2</v>
      </c>
      <c r="M6">
        <v>0.99999990000000005</v>
      </c>
      <c r="N6">
        <f t="shared" si="5"/>
        <v>0</v>
      </c>
    </row>
    <row r="7" spans="1:18" x14ac:dyDescent="0.25">
      <c r="A7">
        <v>3.9</v>
      </c>
      <c r="B7">
        <f t="shared" si="0"/>
        <v>0.39</v>
      </c>
      <c r="C7">
        <v>0.95521</v>
      </c>
      <c r="D7">
        <f t="shared" si="3"/>
        <v>0.97319999999999762</v>
      </c>
      <c r="F7">
        <v>3.9</v>
      </c>
      <c r="G7">
        <f t="shared" si="1"/>
        <v>0.39</v>
      </c>
      <c r="H7">
        <v>0.95975999999999995</v>
      </c>
      <c r="I7">
        <f t="shared" si="4"/>
        <v>0.74240000000000017</v>
      </c>
      <c r="K7">
        <v>1</v>
      </c>
      <c r="L7">
        <f t="shared" si="2"/>
        <v>0.1</v>
      </c>
      <c r="M7">
        <v>0.99999990000000005</v>
      </c>
      <c r="N7">
        <f t="shared" si="5"/>
        <v>0</v>
      </c>
    </row>
    <row r="8" spans="1:18" x14ac:dyDescent="0.25">
      <c r="A8">
        <v>4.1500000000000004</v>
      </c>
      <c r="B8">
        <f t="shared" si="0"/>
        <v>0.41500000000000004</v>
      </c>
      <c r="C8">
        <v>0.93877999999999995</v>
      </c>
      <c r="D8">
        <f t="shared" si="3"/>
        <v>0.65720000000000167</v>
      </c>
      <c r="F8">
        <v>4.1500000000000004</v>
      </c>
      <c r="G8">
        <f t="shared" si="1"/>
        <v>0.41500000000000004</v>
      </c>
      <c r="H8">
        <v>0.93945999999999996</v>
      </c>
      <c r="I8">
        <f t="shared" si="4"/>
        <v>0.81199999999999872</v>
      </c>
      <c r="K8">
        <v>1.25</v>
      </c>
      <c r="L8">
        <f t="shared" si="2"/>
        <v>0.125</v>
      </c>
      <c r="M8">
        <v>0.99999990000000005</v>
      </c>
      <c r="N8">
        <f t="shared" si="5"/>
        <v>0</v>
      </c>
    </row>
    <row r="9" spans="1:18" x14ac:dyDescent="0.25">
      <c r="A9">
        <v>4.4000000000000004</v>
      </c>
      <c r="B9">
        <f t="shared" si="0"/>
        <v>0.44000000000000006</v>
      </c>
      <c r="C9">
        <v>0.92310999999999999</v>
      </c>
      <c r="D9">
        <f t="shared" si="3"/>
        <v>0.62679999999999791</v>
      </c>
      <c r="F9">
        <v>4.4000000000000004</v>
      </c>
      <c r="G9">
        <f t="shared" si="1"/>
        <v>0.44000000000000006</v>
      </c>
      <c r="H9">
        <v>0.91935</v>
      </c>
      <c r="I9">
        <f t="shared" si="4"/>
        <v>0.80439999999999778</v>
      </c>
      <c r="K9">
        <v>1.5</v>
      </c>
      <c r="L9">
        <f t="shared" si="2"/>
        <v>0.15</v>
      </c>
      <c r="M9">
        <v>0.99999990000000005</v>
      </c>
      <c r="N9">
        <f t="shared" si="5"/>
        <v>0</v>
      </c>
    </row>
    <row r="10" spans="1:18" x14ac:dyDescent="0.25">
      <c r="A10">
        <v>4.6500000000000004</v>
      </c>
      <c r="B10">
        <f t="shared" si="0"/>
        <v>0.46500000000000002</v>
      </c>
      <c r="C10">
        <v>0.91437999999999997</v>
      </c>
      <c r="D10">
        <f t="shared" si="3"/>
        <v>0.34920000000000107</v>
      </c>
      <c r="F10">
        <v>4.6500000000000004</v>
      </c>
      <c r="G10">
        <f t="shared" si="1"/>
        <v>0.46500000000000002</v>
      </c>
      <c r="H10">
        <v>0.89834999999999998</v>
      </c>
      <c r="I10">
        <f t="shared" si="4"/>
        <v>0.84000000000000186</v>
      </c>
      <c r="K10">
        <v>1.75</v>
      </c>
      <c r="L10">
        <f t="shared" si="2"/>
        <v>0.17499999999999999</v>
      </c>
      <c r="M10">
        <v>0.99999990000000005</v>
      </c>
      <c r="N10">
        <f t="shared" si="5"/>
        <v>0</v>
      </c>
    </row>
    <row r="11" spans="1:18" x14ac:dyDescent="0.25">
      <c r="A11">
        <v>4.9000000000000004</v>
      </c>
      <c r="B11">
        <f t="shared" si="0"/>
        <v>0.49000000000000005</v>
      </c>
      <c r="C11">
        <v>0.88815</v>
      </c>
      <c r="D11">
        <f t="shared" si="3"/>
        <v>1.0491999999999981</v>
      </c>
      <c r="F11">
        <v>4.9000000000000004</v>
      </c>
      <c r="G11">
        <f t="shared" si="1"/>
        <v>0.49000000000000005</v>
      </c>
      <c r="H11">
        <v>0.87931999999999999</v>
      </c>
      <c r="I11">
        <f t="shared" si="4"/>
        <v>0.76119999999999899</v>
      </c>
      <c r="K11">
        <v>2</v>
      </c>
      <c r="L11">
        <f t="shared" si="2"/>
        <v>0.2</v>
      </c>
      <c r="M11">
        <v>0.99999990000000005</v>
      </c>
      <c r="N11">
        <f t="shared" si="5"/>
        <v>0</v>
      </c>
    </row>
    <row r="12" spans="1:18" x14ac:dyDescent="0.25">
      <c r="A12">
        <v>5.15</v>
      </c>
      <c r="B12">
        <f t="shared" si="0"/>
        <v>0.51500000000000001</v>
      </c>
      <c r="C12">
        <v>0.86614000000000002</v>
      </c>
      <c r="D12">
        <f t="shared" si="3"/>
        <v>0.88040000000000018</v>
      </c>
      <c r="F12">
        <v>5.15</v>
      </c>
      <c r="G12">
        <f t="shared" si="1"/>
        <v>0.51500000000000001</v>
      </c>
      <c r="H12">
        <v>0.85911999999999999</v>
      </c>
      <c r="I12">
        <f t="shared" si="4"/>
        <v>0.80800000000000094</v>
      </c>
      <c r="K12">
        <v>2.25</v>
      </c>
      <c r="L12">
        <f t="shared" si="2"/>
        <v>0.22500000000000001</v>
      </c>
      <c r="M12">
        <v>0.99984200000000001</v>
      </c>
      <c r="N12">
        <f t="shared" si="5"/>
        <v>6.3160000000017664E-3</v>
      </c>
    </row>
    <row r="13" spans="1:18" x14ac:dyDescent="0.25">
      <c r="A13">
        <v>5.4</v>
      </c>
      <c r="B13">
        <f t="shared" si="0"/>
        <v>0.54</v>
      </c>
      <c r="C13">
        <v>0.83550000000000002</v>
      </c>
      <c r="D13">
        <f t="shared" si="3"/>
        <v>1.2255999999999989</v>
      </c>
      <c r="F13">
        <v>5.4</v>
      </c>
      <c r="G13">
        <f t="shared" si="1"/>
        <v>0.54</v>
      </c>
      <c r="H13">
        <v>0.83880999999999994</v>
      </c>
      <c r="I13">
        <f t="shared" si="4"/>
        <v>0.81240000000000134</v>
      </c>
      <c r="K13">
        <v>2.5</v>
      </c>
      <c r="L13">
        <f t="shared" si="2"/>
        <v>0.25</v>
      </c>
      <c r="M13">
        <v>0.99968409999999996</v>
      </c>
      <c r="N13">
        <f t="shared" si="5"/>
        <v>6.3160000000017664E-3</v>
      </c>
    </row>
    <row r="14" spans="1:18" x14ac:dyDescent="0.25">
      <c r="A14">
        <v>5.65</v>
      </c>
      <c r="B14">
        <f t="shared" si="0"/>
        <v>0.56500000000000006</v>
      </c>
      <c r="C14">
        <v>0.81732000000000005</v>
      </c>
      <c r="D14">
        <f t="shared" si="3"/>
        <v>0.72719999999999829</v>
      </c>
      <c r="F14">
        <v>5.65</v>
      </c>
      <c r="G14">
        <f t="shared" si="1"/>
        <v>0.56500000000000006</v>
      </c>
      <c r="H14">
        <v>0.81954000000000005</v>
      </c>
      <c r="I14">
        <f t="shared" si="4"/>
        <v>0.77079999999999527</v>
      </c>
      <c r="K14">
        <v>2.75</v>
      </c>
      <c r="L14">
        <f t="shared" si="2"/>
        <v>0.27500000000000002</v>
      </c>
      <c r="M14">
        <v>0.99842070000000005</v>
      </c>
      <c r="N14">
        <f t="shared" si="5"/>
        <v>5.0535999999996542E-2</v>
      </c>
    </row>
    <row r="15" spans="1:18" x14ac:dyDescent="0.25">
      <c r="A15">
        <v>5.9</v>
      </c>
      <c r="B15">
        <f t="shared" si="0"/>
        <v>0.59000000000000008</v>
      </c>
      <c r="C15">
        <v>0.80281999999999998</v>
      </c>
      <c r="D15">
        <f t="shared" si="3"/>
        <v>0.58000000000000218</v>
      </c>
      <c r="F15">
        <v>5.9</v>
      </c>
      <c r="G15">
        <f t="shared" si="1"/>
        <v>0.59000000000000008</v>
      </c>
      <c r="H15">
        <v>0.79944999999999999</v>
      </c>
      <c r="I15">
        <f t="shared" si="4"/>
        <v>0.80360000000000142</v>
      </c>
      <c r="K15">
        <v>3</v>
      </c>
      <c r="L15">
        <f t="shared" si="2"/>
        <v>0.3</v>
      </c>
      <c r="M15">
        <v>0.99368290000000004</v>
      </c>
      <c r="N15">
        <f t="shared" si="5"/>
        <v>0.18951200000000082</v>
      </c>
    </row>
    <row r="16" spans="1:18" x14ac:dyDescent="0.25">
      <c r="A16">
        <v>6.15</v>
      </c>
      <c r="B16">
        <f t="shared" si="0"/>
        <v>0.61499999999999999</v>
      </c>
      <c r="C16">
        <v>0.78800000000000003</v>
      </c>
      <c r="D16">
        <f t="shared" si="3"/>
        <v>0.59279999999999988</v>
      </c>
      <c r="F16">
        <v>6.15</v>
      </c>
      <c r="G16">
        <f t="shared" si="1"/>
        <v>0.61499999999999999</v>
      </c>
      <c r="H16">
        <v>0.77888999999999997</v>
      </c>
      <c r="I16">
        <f t="shared" si="4"/>
        <v>0.82240000000000379</v>
      </c>
      <c r="K16">
        <v>3.25</v>
      </c>
      <c r="L16">
        <f t="shared" si="2"/>
        <v>0.32500000000000001</v>
      </c>
      <c r="M16">
        <v>0.97741630000000002</v>
      </c>
      <c r="N16">
        <f t="shared" si="5"/>
        <v>0.65066400000000024</v>
      </c>
    </row>
    <row r="17" spans="1:14" x14ac:dyDescent="0.25">
      <c r="A17">
        <v>6.4</v>
      </c>
      <c r="B17">
        <f t="shared" si="0"/>
        <v>0.64</v>
      </c>
      <c r="C17">
        <v>0.76848000000000005</v>
      </c>
      <c r="D17">
        <f t="shared" si="3"/>
        <v>0.78079999999999861</v>
      </c>
      <c r="F17">
        <v>6.4</v>
      </c>
      <c r="G17">
        <f t="shared" si="1"/>
        <v>0.64</v>
      </c>
      <c r="H17">
        <v>0.75960000000000005</v>
      </c>
      <c r="I17">
        <f t="shared" si="4"/>
        <v>0.77159999999999607</v>
      </c>
      <c r="K17">
        <v>3.5</v>
      </c>
      <c r="L17">
        <f t="shared" si="2"/>
        <v>0.35</v>
      </c>
      <c r="M17">
        <v>0.95988629999999997</v>
      </c>
      <c r="N17">
        <f t="shared" si="5"/>
        <v>0.70120000000000271</v>
      </c>
    </row>
    <row r="18" spans="1:14" x14ac:dyDescent="0.25">
      <c r="A18">
        <v>6.65</v>
      </c>
      <c r="B18">
        <f t="shared" si="0"/>
        <v>0.66500000000000004</v>
      </c>
      <c r="C18">
        <v>0.74744999999999995</v>
      </c>
      <c r="D18">
        <f t="shared" si="3"/>
        <v>0.84120000000000339</v>
      </c>
      <c r="F18">
        <v>6.65</v>
      </c>
      <c r="G18">
        <f t="shared" si="1"/>
        <v>0.66500000000000004</v>
      </c>
      <c r="H18">
        <v>0.74136000000000002</v>
      </c>
      <c r="I18">
        <f t="shared" si="4"/>
        <v>0.72960000000000069</v>
      </c>
      <c r="K18">
        <v>3.75</v>
      </c>
      <c r="L18">
        <f t="shared" si="2"/>
        <v>0.375</v>
      </c>
      <c r="M18">
        <v>0.93398610000000004</v>
      </c>
      <c r="N18">
        <f t="shared" si="5"/>
        <v>1.0360079999999963</v>
      </c>
    </row>
    <row r="19" spans="1:14" x14ac:dyDescent="0.25">
      <c r="A19">
        <v>6.9</v>
      </c>
      <c r="B19">
        <f t="shared" si="0"/>
        <v>0.69000000000000006</v>
      </c>
      <c r="C19">
        <v>0.72629999999999995</v>
      </c>
      <c r="D19">
        <f t="shared" si="3"/>
        <v>0.84599999999999931</v>
      </c>
      <c r="F19">
        <v>6.9</v>
      </c>
      <c r="G19">
        <f t="shared" si="1"/>
        <v>0.69000000000000006</v>
      </c>
      <c r="H19">
        <v>0.72209000000000001</v>
      </c>
      <c r="I19">
        <f t="shared" si="4"/>
        <v>0.77079999999999971</v>
      </c>
      <c r="K19">
        <v>4</v>
      </c>
      <c r="L19">
        <f t="shared" si="2"/>
        <v>0.4</v>
      </c>
      <c r="M19">
        <v>0.91614019999999996</v>
      </c>
      <c r="N19">
        <f t="shared" si="5"/>
        <v>0.71383600000000258</v>
      </c>
    </row>
    <row r="20" spans="1:14" x14ac:dyDescent="0.25">
      <c r="A20">
        <v>7.15</v>
      </c>
      <c r="B20">
        <f t="shared" si="0"/>
        <v>0.71500000000000008</v>
      </c>
      <c r="C20">
        <v>0.70464000000000004</v>
      </c>
      <c r="D20">
        <f t="shared" si="3"/>
        <v>0.86639999999999529</v>
      </c>
      <c r="F20">
        <v>7.15</v>
      </c>
      <c r="G20">
        <f t="shared" si="1"/>
        <v>0.71500000000000008</v>
      </c>
      <c r="H20">
        <v>0.70352999999999999</v>
      </c>
      <c r="I20">
        <f t="shared" si="4"/>
        <v>0.74240000000000017</v>
      </c>
      <c r="K20">
        <v>4.25</v>
      </c>
      <c r="L20">
        <f t="shared" si="2"/>
        <v>0.42499999999999999</v>
      </c>
      <c r="M20">
        <v>0.89861020000000003</v>
      </c>
      <c r="N20">
        <f t="shared" si="5"/>
        <v>0.70119999999999827</v>
      </c>
    </row>
    <row r="21" spans="1:14" x14ac:dyDescent="0.25">
      <c r="A21">
        <v>7.4</v>
      </c>
      <c r="B21">
        <f t="shared" si="0"/>
        <v>0.74</v>
      </c>
      <c r="C21">
        <v>0.68738999999999995</v>
      </c>
      <c r="D21">
        <f t="shared" si="3"/>
        <v>0.69000000000000639</v>
      </c>
      <c r="F21">
        <v>7.4</v>
      </c>
      <c r="G21">
        <f t="shared" si="1"/>
        <v>0.74</v>
      </c>
      <c r="H21">
        <v>0.68252999999999997</v>
      </c>
      <c r="I21">
        <f t="shared" si="4"/>
        <v>0.84000000000000374</v>
      </c>
      <c r="K21">
        <v>4.5</v>
      </c>
      <c r="L21">
        <f t="shared" si="2"/>
        <v>0.45</v>
      </c>
      <c r="M21">
        <v>0.89166129999999999</v>
      </c>
      <c r="N21">
        <f t="shared" si="5"/>
        <v>0.2779560000000012</v>
      </c>
    </row>
    <row r="22" spans="1:14" x14ac:dyDescent="0.25">
      <c r="A22">
        <v>7.65</v>
      </c>
      <c r="B22">
        <f t="shared" si="0"/>
        <v>0.76500000000000001</v>
      </c>
      <c r="C22">
        <v>0.66691</v>
      </c>
      <c r="D22">
        <f t="shared" si="3"/>
        <v>0.81919999999999693</v>
      </c>
      <c r="F22">
        <v>7.65</v>
      </c>
      <c r="G22">
        <f t="shared" si="1"/>
        <v>0.76500000000000001</v>
      </c>
      <c r="H22">
        <v>0.66364999999999996</v>
      </c>
      <c r="I22">
        <f t="shared" si="4"/>
        <v>0.75519999999999965</v>
      </c>
      <c r="K22">
        <v>4.75</v>
      </c>
      <c r="L22">
        <f t="shared" si="2"/>
        <v>0.47499999999999998</v>
      </c>
      <c r="M22">
        <v>0.86402400000000001</v>
      </c>
      <c r="N22">
        <f t="shared" si="5"/>
        <v>1.1054920000000006</v>
      </c>
    </row>
    <row r="23" spans="1:14" x14ac:dyDescent="0.25">
      <c r="A23">
        <v>7.9</v>
      </c>
      <c r="B23">
        <f t="shared" si="0"/>
        <v>0.79</v>
      </c>
      <c r="C23">
        <v>0.64185999999999999</v>
      </c>
      <c r="D23">
        <f t="shared" si="3"/>
        <v>1.0019999999999998</v>
      </c>
      <c r="F23">
        <v>7.9</v>
      </c>
      <c r="G23">
        <f t="shared" si="1"/>
        <v>0.79</v>
      </c>
      <c r="H23">
        <v>0.64181999999999995</v>
      </c>
      <c r="I23">
        <f t="shared" si="4"/>
        <v>0.87319999999999987</v>
      </c>
      <c r="K23">
        <v>5</v>
      </c>
      <c r="L23">
        <f t="shared" si="2"/>
        <v>0.5</v>
      </c>
      <c r="M23">
        <v>0.84049269999999998</v>
      </c>
      <c r="N23">
        <f t="shared" si="5"/>
        <v>0.94125200000000042</v>
      </c>
    </row>
    <row r="24" spans="1:14" x14ac:dyDescent="0.25">
      <c r="A24">
        <v>8.15</v>
      </c>
      <c r="B24">
        <f t="shared" si="0"/>
        <v>0.81500000000000006</v>
      </c>
      <c r="C24">
        <v>0.62</v>
      </c>
      <c r="D24">
        <f t="shared" si="3"/>
        <v>0.87439999999999884</v>
      </c>
      <c r="F24">
        <v>8.15</v>
      </c>
      <c r="G24">
        <f t="shared" si="1"/>
        <v>0.81500000000000006</v>
      </c>
      <c r="H24">
        <v>0.62170999999999998</v>
      </c>
      <c r="I24">
        <f t="shared" si="4"/>
        <v>0.80439999999999778</v>
      </c>
      <c r="K24">
        <v>5.25</v>
      </c>
      <c r="L24">
        <f t="shared" si="2"/>
        <v>0.52500000000000002</v>
      </c>
      <c r="M24">
        <v>0.81269740000000001</v>
      </c>
      <c r="N24">
        <f t="shared" si="5"/>
        <v>1.1118119999999978</v>
      </c>
    </row>
    <row r="25" spans="1:14" x14ac:dyDescent="0.25">
      <c r="A25">
        <v>8.4</v>
      </c>
      <c r="B25">
        <f t="shared" si="0"/>
        <v>0.84000000000000008</v>
      </c>
      <c r="C25">
        <v>0.60560000000000003</v>
      </c>
      <c r="D25">
        <f t="shared" si="3"/>
        <v>0.57599999999999818</v>
      </c>
      <c r="F25">
        <v>8.4</v>
      </c>
      <c r="G25">
        <f t="shared" si="1"/>
        <v>0.84000000000000008</v>
      </c>
      <c r="H25">
        <v>0.60060000000000002</v>
      </c>
      <c r="I25">
        <f t="shared" si="4"/>
        <v>0.84439999999999771</v>
      </c>
      <c r="K25">
        <v>5.5</v>
      </c>
      <c r="L25">
        <f t="shared" si="2"/>
        <v>0.55000000000000004</v>
      </c>
      <c r="M25">
        <v>0.79690459999999996</v>
      </c>
      <c r="N25">
        <f t="shared" si="5"/>
        <v>0.63171200000000149</v>
      </c>
    </row>
    <row r="26" spans="1:14" x14ac:dyDescent="0.25">
      <c r="A26">
        <v>8.65</v>
      </c>
      <c r="B26">
        <f t="shared" si="0"/>
        <v>0.86499999999999999</v>
      </c>
      <c r="C26">
        <v>0.58477999999999997</v>
      </c>
      <c r="D26">
        <f t="shared" si="3"/>
        <v>0.83280000000000542</v>
      </c>
      <c r="F26">
        <v>8.65</v>
      </c>
      <c r="G26">
        <f t="shared" si="1"/>
        <v>0.86499999999999999</v>
      </c>
      <c r="H26">
        <v>0.57850999999999997</v>
      </c>
      <c r="I26">
        <f t="shared" si="4"/>
        <v>0.88360000000000527</v>
      </c>
      <c r="K26">
        <v>5.75</v>
      </c>
      <c r="L26">
        <f t="shared" si="2"/>
        <v>0.57499999999999996</v>
      </c>
      <c r="M26">
        <v>0.78126969999999996</v>
      </c>
      <c r="N26">
        <f t="shared" si="5"/>
        <v>0.62539600000000251</v>
      </c>
    </row>
    <row r="27" spans="1:14" x14ac:dyDescent="0.25">
      <c r="A27">
        <v>8.9</v>
      </c>
      <c r="B27">
        <f t="shared" si="0"/>
        <v>0.89</v>
      </c>
      <c r="C27">
        <v>0.56428</v>
      </c>
      <c r="D27">
        <f t="shared" si="3"/>
        <v>0.81999999999999773</v>
      </c>
      <c r="F27">
        <v>8.9</v>
      </c>
      <c r="G27">
        <f t="shared" si="1"/>
        <v>0.89</v>
      </c>
      <c r="H27">
        <v>0.55657000000000001</v>
      </c>
      <c r="I27">
        <f t="shared" si="4"/>
        <v>0.8775999999999976</v>
      </c>
      <c r="K27">
        <v>6</v>
      </c>
      <c r="L27">
        <f t="shared" si="2"/>
        <v>0.6</v>
      </c>
      <c r="M27">
        <v>0.76626649999999996</v>
      </c>
      <c r="N27">
        <f t="shared" si="5"/>
        <v>0.60012799999999922</v>
      </c>
    </row>
    <row r="28" spans="1:14" x14ac:dyDescent="0.25">
      <c r="A28">
        <v>9.15</v>
      </c>
      <c r="B28">
        <f t="shared" si="0"/>
        <v>0.91500000000000004</v>
      </c>
      <c r="C28">
        <v>0.54715000000000003</v>
      </c>
      <c r="D28">
        <f t="shared" si="3"/>
        <v>0.68519999999999859</v>
      </c>
      <c r="F28">
        <v>9.15</v>
      </c>
      <c r="G28">
        <f t="shared" si="1"/>
        <v>0.91500000000000004</v>
      </c>
      <c r="H28">
        <v>0.53517999999999999</v>
      </c>
      <c r="I28">
        <f t="shared" si="4"/>
        <v>0.85560000000000003</v>
      </c>
      <c r="K28">
        <v>6.25</v>
      </c>
      <c r="L28">
        <f t="shared" si="2"/>
        <v>0.625</v>
      </c>
      <c r="M28">
        <v>0.74905239999999995</v>
      </c>
      <c r="N28">
        <f t="shared" si="5"/>
        <v>0.68856399999999973</v>
      </c>
    </row>
    <row r="29" spans="1:14" x14ac:dyDescent="0.25">
      <c r="A29">
        <v>9.4</v>
      </c>
      <c r="B29">
        <f t="shared" si="0"/>
        <v>0.94000000000000006</v>
      </c>
      <c r="C29">
        <v>0.52710999999999997</v>
      </c>
      <c r="D29">
        <f t="shared" si="3"/>
        <v>0.80160000000000164</v>
      </c>
      <c r="F29">
        <v>9.4</v>
      </c>
      <c r="G29">
        <f t="shared" si="1"/>
        <v>0.94000000000000006</v>
      </c>
      <c r="H29">
        <v>0.51492000000000004</v>
      </c>
      <c r="I29">
        <f t="shared" si="4"/>
        <v>0.81039999999999712</v>
      </c>
      <c r="K29">
        <v>6.5</v>
      </c>
      <c r="L29">
        <f t="shared" si="2"/>
        <v>0.65</v>
      </c>
      <c r="M29">
        <v>0.72915350000000001</v>
      </c>
      <c r="N29">
        <f t="shared" si="5"/>
        <v>0.795955999999997</v>
      </c>
    </row>
    <row r="30" spans="1:14" x14ac:dyDescent="0.25">
      <c r="A30">
        <v>9.65</v>
      </c>
      <c r="B30">
        <f t="shared" si="0"/>
        <v>0.96500000000000008</v>
      </c>
      <c r="C30">
        <v>0.50185000000000002</v>
      </c>
      <c r="D30">
        <f t="shared" si="3"/>
        <v>1.0103999999999971</v>
      </c>
      <c r="F30">
        <v>9.65</v>
      </c>
      <c r="G30">
        <f t="shared" si="1"/>
        <v>0.96500000000000008</v>
      </c>
      <c r="H30">
        <v>0.49386000000000002</v>
      </c>
      <c r="I30">
        <f t="shared" si="4"/>
        <v>0.84240000000000015</v>
      </c>
      <c r="K30">
        <v>6.75</v>
      </c>
      <c r="L30">
        <f t="shared" si="2"/>
        <v>0.67500000000000004</v>
      </c>
      <c r="M30">
        <v>0.7068856</v>
      </c>
      <c r="N30">
        <f t="shared" si="5"/>
        <v>0.89071599999999951</v>
      </c>
    </row>
    <row r="31" spans="1:14" x14ac:dyDescent="0.25">
      <c r="A31">
        <v>9.9</v>
      </c>
      <c r="B31">
        <f t="shared" si="0"/>
        <v>0.99</v>
      </c>
      <c r="C31">
        <v>0.47188000000000002</v>
      </c>
      <c r="D31">
        <f t="shared" si="3"/>
        <v>1.1988000000000041</v>
      </c>
      <c r="F31">
        <v>9.9</v>
      </c>
      <c r="G31">
        <f t="shared" si="1"/>
        <v>0.99</v>
      </c>
      <c r="H31">
        <v>0.47422999999999998</v>
      </c>
      <c r="I31">
        <f t="shared" si="4"/>
        <v>0.78520000000000423</v>
      </c>
      <c r="K31">
        <v>7</v>
      </c>
      <c r="L31">
        <f t="shared" si="2"/>
        <v>0.7</v>
      </c>
      <c r="M31">
        <v>0.68856600000000001</v>
      </c>
      <c r="N31">
        <f t="shared" si="5"/>
        <v>0.73278400000000221</v>
      </c>
    </row>
    <row r="32" spans="1:14" x14ac:dyDescent="0.25">
      <c r="A32">
        <v>10.15</v>
      </c>
      <c r="B32">
        <f t="shared" si="0"/>
        <v>1.0150000000000001</v>
      </c>
      <c r="C32">
        <v>0.45390999999999998</v>
      </c>
      <c r="D32">
        <f t="shared" si="3"/>
        <v>0.71879999999999777</v>
      </c>
      <c r="F32">
        <v>10.15</v>
      </c>
      <c r="G32">
        <f t="shared" si="1"/>
        <v>1.0150000000000001</v>
      </c>
      <c r="H32">
        <v>0.4491</v>
      </c>
      <c r="I32">
        <f t="shared" si="4"/>
        <v>1.0051999999999941</v>
      </c>
      <c r="K32">
        <v>7.25</v>
      </c>
      <c r="L32">
        <f t="shared" si="2"/>
        <v>0.72499999999999998</v>
      </c>
      <c r="M32" s="1">
        <v>0.67103599999999997</v>
      </c>
      <c r="N32">
        <f t="shared" si="5"/>
        <v>0.70120000000000116</v>
      </c>
    </row>
    <row r="33" spans="1:14" x14ac:dyDescent="0.25">
      <c r="A33">
        <v>10.4</v>
      </c>
      <c r="B33">
        <f t="shared" si="0"/>
        <v>1.04</v>
      </c>
      <c r="C33">
        <v>0.43675000000000003</v>
      </c>
      <c r="D33">
        <f t="shared" si="3"/>
        <v>0.68640000000000057</v>
      </c>
      <c r="F33">
        <v>10.4</v>
      </c>
      <c r="G33">
        <f t="shared" si="1"/>
        <v>1.04</v>
      </c>
      <c r="H33">
        <v>0.42802000000000001</v>
      </c>
      <c r="I33">
        <f t="shared" si="4"/>
        <v>0.8432000000000025</v>
      </c>
      <c r="K33">
        <v>7.5</v>
      </c>
      <c r="L33">
        <f t="shared" si="2"/>
        <v>0.75</v>
      </c>
      <c r="M33" s="1">
        <v>0.65034740000000002</v>
      </c>
      <c r="N33">
        <f t="shared" si="5"/>
        <v>0.82754399999999706</v>
      </c>
    </row>
    <row r="34" spans="1:14" x14ac:dyDescent="0.25">
      <c r="A34">
        <v>10.65</v>
      </c>
      <c r="B34">
        <f t="shared" si="0"/>
        <v>1.0649999999999999</v>
      </c>
      <c r="C34">
        <v>0.41526000000000002</v>
      </c>
      <c r="D34">
        <f t="shared" si="3"/>
        <v>0.85960000000000347</v>
      </c>
      <c r="F34">
        <v>10.65</v>
      </c>
      <c r="G34">
        <f t="shared" si="1"/>
        <v>1.0649999999999999</v>
      </c>
      <c r="H34">
        <v>0.40673999999999999</v>
      </c>
      <c r="I34">
        <f t="shared" si="4"/>
        <v>0.85120000000000384</v>
      </c>
      <c r="K34">
        <v>7.75</v>
      </c>
      <c r="L34">
        <f t="shared" si="2"/>
        <v>0.77500000000000002</v>
      </c>
      <c r="M34" s="1">
        <v>0.62460519999999997</v>
      </c>
      <c r="N34">
        <f t="shared" si="5"/>
        <v>1.029688000000001</v>
      </c>
    </row>
    <row r="35" spans="1:14" x14ac:dyDescent="0.25">
      <c r="A35">
        <v>10.9</v>
      </c>
      <c r="B35">
        <f t="shared" si="0"/>
        <v>1.0900000000000001</v>
      </c>
      <c r="C35">
        <v>0.38868000000000003</v>
      </c>
      <c r="D35">
        <f t="shared" si="3"/>
        <v>1.0631999999999939</v>
      </c>
      <c r="F35">
        <v>10.9</v>
      </c>
      <c r="G35">
        <f t="shared" si="1"/>
        <v>1.0900000000000001</v>
      </c>
      <c r="H35">
        <v>0.38606000000000001</v>
      </c>
      <c r="I35">
        <f t="shared" si="4"/>
        <v>0.82719999999999461</v>
      </c>
      <c r="K35">
        <v>8</v>
      </c>
      <c r="L35">
        <f t="shared" si="2"/>
        <v>0.8</v>
      </c>
      <c r="M35" s="1">
        <v>0.60265310000000005</v>
      </c>
      <c r="N35">
        <f t="shared" si="5"/>
        <v>0.87808399999999598</v>
      </c>
    </row>
    <row r="36" spans="1:14" x14ac:dyDescent="0.25">
      <c r="A36">
        <v>11.15</v>
      </c>
      <c r="B36">
        <f t="shared" si="0"/>
        <v>1.115</v>
      </c>
      <c r="C36">
        <v>0.36852000000000001</v>
      </c>
      <c r="D36">
        <f t="shared" si="3"/>
        <v>0.80640000000000334</v>
      </c>
      <c r="F36">
        <v>11.15</v>
      </c>
      <c r="G36">
        <f t="shared" si="1"/>
        <v>1.115</v>
      </c>
      <c r="H36">
        <v>0.36723</v>
      </c>
      <c r="I36">
        <f t="shared" si="4"/>
        <v>0.7532000000000032</v>
      </c>
      <c r="K36">
        <v>8.25</v>
      </c>
      <c r="L36">
        <f t="shared" si="2"/>
        <v>0.82499999999999996</v>
      </c>
      <c r="M36" s="1">
        <v>0.58859760000000005</v>
      </c>
      <c r="N36">
        <f t="shared" si="5"/>
        <v>0.56222000000000194</v>
      </c>
    </row>
    <row r="37" spans="1:14" x14ac:dyDescent="0.25">
      <c r="A37">
        <v>11.4</v>
      </c>
      <c r="B37">
        <f t="shared" si="0"/>
        <v>1.1400000000000001</v>
      </c>
      <c r="C37">
        <v>0.35015000000000002</v>
      </c>
      <c r="D37">
        <f t="shared" si="3"/>
        <v>0.73479999999999601</v>
      </c>
      <c r="F37">
        <v>11.4</v>
      </c>
      <c r="G37">
        <f t="shared" si="1"/>
        <v>1.1400000000000001</v>
      </c>
      <c r="H37">
        <v>0.34813</v>
      </c>
      <c r="I37">
        <f t="shared" si="4"/>
        <v>0.76399999999999613</v>
      </c>
      <c r="K37">
        <v>8.5</v>
      </c>
      <c r="L37">
        <f t="shared" si="2"/>
        <v>0.85</v>
      </c>
      <c r="M37" s="1">
        <v>0.56569800000000003</v>
      </c>
      <c r="N37">
        <f t="shared" si="5"/>
        <v>0.91598400000000002</v>
      </c>
    </row>
    <row r="38" spans="1:14" x14ac:dyDescent="0.25">
      <c r="A38">
        <v>11.65</v>
      </c>
      <c r="B38">
        <f t="shared" si="0"/>
        <v>1.165</v>
      </c>
      <c r="C38">
        <v>0.33294000000000001</v>
      </c>
      <c r="D38">
        <f t="shared" si="3"/>
        <v>0.68840000000000257</v>
      </c>
      <c r="F38">
        <v>11.65</v>
      </c>
      <c r="G38">
        <f t="shared" si="1"/>
        <v>1.165</v>
      </c>
      <c r="H38">
        <v>0.33091999999999999</v>
      </c>
      <c r="I38">
        <f t="shared" si="4"/>
        <v>0.68840000000000257</v>
      </c>
      <c r="K38">
        <v>8.75</v>
      </c>
      <c r="L38">
        <f t="shared" si="2"/>
        <v>0.875</v>
      </c>
      <c r="M38" s="1">
        <v>0.5472205</v>
      </c>
      <c r="N38">
        <f t="shared" si="5"/>
        <v>0.73910000000000076</v>
      </c>
    </row>
    <row r="39" spans="1:14" x14ac:dyDescent="0.25">
      <c r="A39">
        <v>11.9</v>
      </c>
      <c r="B39">
        <f t="shared" si="0"/>
        <v>1.19</v>
      </c>
      <c r="C39">
        <v>0.31390000000000001</v>
      </c>
      <c r="D39">
        <f t="shared" si="3"/>
        <v>0.76160000000000272</v>
      </c>
      <c r="F39">
        <v>11.9</v>
      </c>
      <c r="G39">
        <f t="shared" si="1"/>
        <v>1.19</v>
      </c>
      <c r="H39">
        <v>0.31158000000000002</v>
      </c>
      <c r="I39">
        <f t="shared" si="4"/>
        <v>0.77360000000000151</v>
      </c>
      <c r="K39">
        <v>9</v>
      </c>
      <c r="L39">
        <f t="shared" si="2"/>
        <v>0.9</v>
      </c>
      <c r="M39" s="1">
        <v>0.52984830000000005</v>
      </c>
      <c r="N39">
        <f t="shared" si="5"/>
        <v>0.69488799999999729</v>
      </c>
    </row>
    <row r="40" spans="1:14" x14ac:dyDescent="0.25">
      <c r="A40">
        <v>12.15</v>
      </c>
      <c r="B40">
        <f t="shared" si="0"/>
        <v>1.2150000000000001</v>
      </c>
      <c r="C40">
        <v>0.29808000000000001</v>
      </c>
      <c r="D40">
        <f t="shared" si="3"/>
        <v>0.6327999999999967</v>
      </c>
      <c r="F40">
        <v>12.15</v>
      </c>
      <c r="G40">
        <f t="shared" si="1"/>
        <v>1.2150000000000001</v>
      </c>
      <c r="H40">
        <v>0.29382999999999998</v>
      </c>
      <c r="I40">
        <f t="shared" si="4"/>
        <v>0.70999999999999797</v>
      </c>
      <c r="K40">
        <v>9.25</v>
      </c>
      <c r="L40">
        <f t="shared" si="2"/>
        <v>0.92500000000000004</v>
      </c>
      <c r="M40" s="1">
        <v>0.51295009999999996</v>
      </c>
      <c r="N40">
        <f t="shared" si="5"/>
        <v>0.67592800000000286</v>
      </c>
    </row>
    <row r="41" spans="1:14" x14ac:dyDescent="0.25">
      <c r="A41">
        <v>12.4</v>
      </c>
      <c r="B41">
        <f t="shared" si="0"/>
        <v>1.24</v>
      </c>
      <c r="C41">
        <v>0.28600999999999999</v>
      </c>
      <c r="D41">
        <f t="shared" si="3"/>
        <v>0.48280000000000273</v>
      </c>
      <c r="F41">
        <v>12.4</v>
      </c>
      <c r="G41">
        <f t="shared" si="1"/>
        <v>1.24</v>
      </c>
      <c r="H41">
        <v>0.27465000000000001</v>
      </c>
      <c r="I41">
        <f t="shared" si="4"/>
        <v>0.76720000000000177</v>
      </c>
      <c r="K41">
        <v>9.5</v>
      </c>
      <c r="L41">
        <f t="shared" si="2"/>
        <v>0.95</v>
      </c>
      <c r="M41" s="1">
        <v>0.49068220000000001</v>
      </c>
      <c r="N41">
        <f t="shared" si="5"/>
        <v>0.89071600000000128</v>
      </c>
    </row>
    <row r="42" spans="1:14" x14ac:dyDescent="0.25">
      <c r="A42">
        <v>12.65</v>
      </c>
      <c r="B42">
        <f t="shared" si="0"/>
        <v>1.2650000000000001</v>
      </c>
      <c r="C42">
        <v>0.26906999999999998</v>
      </c>
      <c r="D42">
        <f t="shared" si="3"/>
        <v>0.67759999999999676</v>
      </c>
      <c r="F42">
        <v>12.65</v>
      </c>
      <c r="G42">
        <f t="shared" si="1"/>
        <v>1.2650000000000001</v>
      </c>
      <c r="H42">
        <v>0.26384999999999997</v>
      </c>
      <c r="I42">
        <f t="shared" si="4"/>
        <v>0.431999999999999</v>
      </c>
      <c r="K42">
        <v>9.75</v>
      </c>
      <c r="L42">
        <f t="shared" si="2"/>
        <v>0.97499999999999998</v>
      </c>
      <c r="M42" s="1">
        <v>0.46209729999999999</v>
      </c>
      <c r="N42">
        <f t="shared" si="5"/>
        <v>1.1433959999999999</v>
      </c>
    </row>
    <row r="43" spans="1:14" x14ac:dyDescent="0.25">
      <c r="A43">
        <v>12.9</v>
      </c>
      <c r="B43">
        <f t="shared" si="0"/>
        <v>1.29</v>
      </c>
      <c r="C43">
        <v>0.25256000000000001</v>
      </c>
      <c r="D43">
        <f t="shared" si="3"/>
        <v>0.6604000000000011</v>
      </c>
      <c r="F43">
        <v>12.9</v>
      </c>
      <c r="G43">
        <f t="shared" si="1"/>
        <v>1.29</v>
      </c>
      <c r="H43">
        <v>0.24858</v>
      </c>
      <c r="I43">
        <f t="shared" si="4"/>
        <v>0.61080000000000134</v>
      </c>
      <c r="K43">
        <v>10</v>
      </c>
      <c r="L43">
        <f t="shared" si="2"/>
        <v>1</v>
      </c>
      <c r="M43" s="1">
        <v>0.44409349999999997</v>
      </c>
      <c r="N43">
        <f t="shared" si="5"/>
        <v>0.7201519999999999</v>
      </c>
    </row>
    <row r="44" spans="1:14" x14ac:dyDescent="0.25">
      <c r="A44">
        <v>13.15</v>
      </c>
      <c r="B44">
        <f t="shared" si="0"/>
        <v>1.3149999999999999</v>
      </c>
      <c r="C44">
        <v>0.23180999999999999</v>
      </c>
      <c r="D44">
        <f t="shared" si="3"/>
        <v>0.83000000000000373</v>
      </c>
      <c r="F44">
        <v>13.15</v>
      </c>
      <c r="G44">
        <f t="shared" si="1"/>
        <v>1.3149999999999999</v>
      </c>
      <c r="H44">
        <v>0.23394000000000001</v>
      </c>
      <c r="I44">
        <f t="shared" si="4"/>
        <v>0.58560000000000156</v>
      </c>
      <c r="K44">
        <v>10.25</v>
      </c>
      <c r="L44">
        <f t="shared" si="2"/>
        <v>1.0249999999999999</v>
      </c>
      <c r="M44" s="1">
        <v>0.42498419999999998</v>
      </c>
      <c r="N44">
        <f t="shared" si="5"/>
        <v>0.76437200000000249</v>
      </c>
    </row>
    <row r="45" spans="1:14" x14ac:dyDescent="0.25">
      <c r="A45">
        <v>13.4</v>
      </c>
      <c r="B45">
        <f t="shared" si="0"/>
        <v>1.34</v>
      </c>
      <c r="C45">
        <v>0.22047</v>
      </c>
      <c r="D45">
        <f t="shared" si="3"/>
        <v>0.45359999999999712</v>
      </c>
      <c r="F45">
        <v>13.4</v>
      </c>
      <c r="G45">
        <f t="shared" si="1"/>
        <v>1.34</v>
      </c>
      <c r="H45">
        <v>0.21839</v>
      </c>
      <c r="I45">
        <f t="shared" si="4"/>
        <v>0.621999999999997</v>
      </c>
      <c r="K45">
        <v>10.5</v>
      </c>
      <c r="L45">
        <f t="shared" si="2"/>
        <v>1.05</v>
      </c>
      <c r="M45" s="1">
        <v>0.40334809999999999</v>
      </c>
      <c r="N45">
        <f t="shared" si="5"/>
        <v>0.865443999999995</v>
      </c>
    </row>
    <row r="46" spans="1:14" x14ac:dyDescent="0.25">
      <c r="A46">
        <v>13.65</v>
      </c>
      <c r="B46">
        <f t="shared" si="0"/>
        <v>1.365</v>
      </c>
      <c r="C46">
        <v>0.19527</v>
      </c>
      <c r="D46">
        <f t="shared" si="3"/>
        <v>1.0080000000000036</v>
      </c>
      <c r="F46">
        <v>13.65</v>
      </c>
      <c r="G46">
        <f t="shared" si="1"/>
        <v>1.365</v>
      </c>
      <c r="H46">
        <v>0.19545999999999999</v>
      </c>
      <c r="I46">
        <f t="shared" si="4"/>
        <v>0.91720000000000346</v>
      </c>
      <c r="K46">
        <v>10.75</v>
      </c>
      <c r="L46">
        <f t="shared" si="2"/>
        <v>1.075</v>
      </c>
      <c r="M46" s="1">
        <v>0.37729000000000001</v>
      </c>
      <c r="N46">
        <f t="shared" si="5"/>
        <v>1.0423240000000027</v>
      </c>
    </row>
    <row r="47" spans="1:14" x14ac:dyDescent="0.25">
      <c r="A47">
        <v>13.9</v>
      </c>
      <c r="B47">
        <f t="shared" si="0"/>
        <v>1.3900000000000001</v>
      </c>
      <c r="C47">
        <v>0.18253</v>
      </c>
      <c r="D47">
        <f t="shared" si="3"/>
        <v>0.50959999999999739</v>
      </c>
      <c r="F47">
        <v>13.9</v>
      </c>
      <c r="G47">
        <f t="shared" si="1"/>
        <v>1.3900000000000001</v>
      </c>
      <c r="H47">
        <v>0.17996999999999999</v>
      </c>
      <c r="I47">
        <f t="shared" si="4"/>
        <v>0.61959999999999682</v>
      </c>
      <c r="K47">
        <v>11</v>
      </c>
      <c r="L47">
        <f t="shared" si="2"/>
        <v>1.1000000000000001</v>
      </c>
      <c r="M47" s="1">
        <v>0.35833860000000001</v>
      </c>
      <c r="N47">
        <f t="shared" si="5"/>
        <v>0.75805599999999629</v>
      </c>
    </row>
    <row r="48" spans="1:14" x14ac:dyDescent="0.25">
      <c r="A48">
        <v>14.15</v>
      </c>
      <c r="B48">
        <f t="shared" si="0"/>
        <v>1.415</v>
      </c>
      <c r="C48">
        <v>0.17401</v>
      </c>
      <c r="D48">
        <f t="shared" si="3"/>
        <v>0.34080000000000121</v>
      </c>
      <c r="F48">
        <v>14.15</v>
      </c>
      <c r="G48">
        <f t="shared" si="1"/>
        <v>1.415</v>
      </c>
      <c r="H48">
        <v>0.16769999999999999</v>
      </c>
      <c r="I48">
        <f t="shared" si="4"/>
        <v>0.49080000000000185</v>
      </c>
      <c r="K48">
        <v>11.25</v>
      </c>
      <c r="L48">
        <f t="shared" si="2"/>
        <v>1.125</v>
      </c>
      <c r="M48" s="1">
        <v>0.3385976</v>
      </c>
      <c r="N48">
        <f t="shared" si="5"/>
        <v>0.78964000000000312</v>
      </c>
    </row>
    <row r="49" spans="1:14" x14ac:dyDescent="0.25">
      <c r="A49">
        <v>14.4</v>
      </c>
      <c r="B49">
        <f t="shared" si="0"/>
        <v>1.44</v>
      </c>
      <c r="C49">
        <v>0.15665999999999999</v>
      </c>
      <c r="D49">
        <f t="shared" si="3"/>
        <v>0.69400000000000261</v>
      </c>
      <c r="F49">
        <v>14.4</v>
      </c>
      <c r="G49">
        <f t="shared" si="1"/>
        <v>1.44</v>
      </c>
      <c r="H49">
        <v>0.15140000000000001</v>
      </c>
      <c r="I49">
        <f t="shared" si="4"/>
        <v>0.65200000000000158</v>
      </c>
      <c r="K49">
        <v>11.5</v>
      </c>
      <c r="L49">
        <f t="shared" si="2"/>
        <v>1.1499999999999999</v>
      </c>
      <c r="M49" s="1">
        <v>0.3212255</v>
      </c>
      <c r="N49">
        <f t="shared" si="5"/>
        <v>0.6948840000000025</v>
      </c>
    </row>
    <row r="50" spans="1:14" x14ac:dyDescent="0.25">
      <c r="A50">
        <v>14.65</v>
      </c>
      <c r="B50">
        <f t="shared" si="0"/>
        <v>1.4650000000000001</v>
      </c>
      <c r="C50">
        <v>0.14588000000000001</v>
      </c>
      <c r="D50">
        <f t="shared" si="3"/>
        <v>0.43119999999999709</v>
      </c>
      <c r="F50">
        <v>14.65</v>
      </c>
      <c r="G50">
        <f t="shared" si="1"/>
        <v>1.4650000000000001</v>
      </c>
      <c r="H50">
        <v>0.14030000000000001</v>
      </c>
      <c r="I50">
        <f t="shared" si="4"/>
        <v>0.44399999999999756</v>
      </c>
      <c r="K50">
        <v>11.75</v>
      </c>
      <c r="L50">
        <f t="shared" si="2"/>
        <v>1.175</v>
      </c>
      <c r="M50" s="1">
        <v>0.29927350000000003</v>
      </c>
      <c r="N50">
        <f t="shared" si="5"/>
        <v>0.8780799999999942</v>
      </c>
    </row>
    <row r="51" spans="1:14" x14ac:dyDescent="0.25">
      <c r="A51">
        <v>14.9</v>
      </c>
      <c r="B51">
        <f t="shared" si="0"/>
        <v>1.49</v>
      </c>
      <c r="C51">
        <v>0.13568</v>
      </c>
      <c r="D51">
        <f t="shared" si="3"/>
        <v>0.40800000000000203</v>
      </c>
      <c r="F51">
        <v>14.9</v>
      </c>
      <c r="G51">
        <f t="shared" si="1"/>
        <v>1.49</v>
      </c>
      <c r="H51">
        <v>0.13197999999999999</v>
      </c>
      <c r="I51">
        <f t="shared" si="4"/>
        <v>0.33280000000000204</v>
      </c>
      <c r="K51">
        <v>12</v>
      </c>
      <c r="L51">
        <f t="shared" si="2"/>
        <v>1.2</v>
      </c>
      <c r="M51" s="1">
        <v>0.28600759999999997</v>
      </c>
      <c r="N51">
        <f t="shared" si="5"/>
        <v>0.53063600000000399</v>
      </c>
    </row>
    <row r="52" spans="1:14" x14ac:dyDescent="0.25">
      <c r="A52">
        <v>15.15</v>
      </c>
      <c r="B52">
        <f t="shared" si="0"/>
        <v>1.5150000000000001</v>
      </c>
      <c r="C52">
        <v>0.12078</v>
      </c>
      <c r="D52">
        <f t="shared" si="3"/>
        <v>0.59599999999999664</v>
      </c>
      <c r="F52">
        <v>15.15</v>
      </c>
      <c r="G52">
        <f t="shared" si="1"/>
        <v>1.5150000000000001</v>
      </c>
      <c r="H52">
        <v>0.11756</v>
      </c>
      <c r="I52">
        <f t="shared" si="4"/>
        <v>0.57679999999999643</v>
      </c>
      <c r="K52">
        <v>12.25</v>
      </c>
      <c r="L52">
        <f t="shared" si="2"/>
        <v>1.2250000000000001</v>
      </c>
      <c r="M52" s="1">
        <v>0.27463670000000001</v>
      </c>
      <c r="N52">
        <f t="shared" si="5"/>
        <v>0.45483599999999602</v>
      </c>
    </row>
    <row r="53" spans="1:14" x14ac:dyDescent="0.25">
      <c r="A53">
        <v>15.4</v>
      </c>
      <c r="B53">
        <f t="shared" si="0"/>
        <v>1.54</v>
      </c>
      <c r="C53">
        <v>9.1230000000000006E-2</v>
      </c>
      <c r="D53">
        <f t="shared" si="3"/>
        <v>1.1820000000000039</v>
      </c>
      <c r="F53">
        <v>15.4</v>
      </c>
      <c r="G53">
        <f t="shared" si="1"/>
        <v>1.54</v>
      </c>
      <c r="H53">
        <v>0.10623</v>
      </c>
      <c r="I53">
        <f t="shared" si="4"/>
        <v>0.45320000000000132</v>
      </c>
      <c r="K53">
        <v>12.5</v>
      </c>
      <c r="L53">
        <f t="shared" si="2"/>
        <v>1.25</v>
      </c>
      <c r="M53" s="1">
        <v>0.25758049999999999</v>
      </c>
      <c r="N53">
        <f t="shared" si="5"/>
        <v>0.6822480000000033</v>
      </c>
    </row>
    <row r="54" spans="1:14" x14ac:dyDescent="0.25">
      <c r="A54">
        <v>15.65</v>
      </c>
      <c r="B54">
        <f t="shared" si="0"/>
        <v>1.5649999999999999</v>
      </c>
      <c r="C54">
        <v>8.7959999999999997E-2</v>
      </c>
      <c r="D54">
        <f t="shared" si="3"/>
        <v>0.13080000000000083</v>
      </c>
      <c r="F54">
        <v>15.65</v>
      </c>
      <c r="G54">
        <f t="shared" si="1"/>
        <v>1.5649999999999999</v>
      </c>
      <c r="H54">
        <v>9.035E-2</v>
      </c>
      <c r="I54">
        <f t="shared" si="4"/>
        <v>0.63520000000000243</v>
      </c>
      <c r="K54">
        <v>12.75</v>
      </c>
      <c r="L54">
        <f t="shared" si="2"/>
        <v>1.2749999999999999</v>
      </c>
      <c r="M54" s="1">
        <v>0.24194570000000001</v>
      </c>
      <c r="N54">
        <f t="shared" si="5"/>
        <v>0.62539200000000128</v>
      </c>
    </row>
    <row r="55" spans="1:14" x14ac:dyDescent="0.25">
      <c r="A55">
        <v>15.9</v>
      </c>
      <c r="B55">
        <f t="shared" si="0"/>
        <v>1.59</v>
      </c>
      <c r="C55">
        <v>8.5400000000000004E-2</v>
      </c>
      <c r="D55">
        <f t="shared" si="3"/>
        <v>0.10239999999999917</v>
      </c>
      <c r="F55">
        <v>15.9</v>
      </c>
      <c r="G55">
        <f t="shared" si="1"/>
        <v>1.59</v>
      </c>
      <c r="H55">
        <v>8.7150000000000005E-2</v>
      </c>
      <c r="I55">
        <f t="shared" si="4"/>
        <v>0.12799999999999909</v>
      </c>
      <c r="K55">
        <v>13</v>
      </c>
      <c r="L55">
        <f t="shared" si="2"/>
        <v>1.3</v>
      </c>
      <c r="M55" s="1">
        <v>0.2226785</v>
      </c>
      <c r="N55">
        <f t="shared" si="5"/>
        <v>0.77068799999999638</v>
      </c>
    </row>
    <row r="56" spans="1:14" x14ac:dyDescent="0.25">
      <c r="A56">
        <v>16.149999999999999</v>
      </c>
      <c r="B56">
        <f t="shared" si="0"/>
        <v>1.6149999999999998</v>
      </c>
      <c r="C56">
        <v>7.7410000000000007E-2</v>
      </c>
      <c r="D56">
        <f t="shared" si="3"/>
        <v>0.31960000000000388</v>
      </c>
      <c r="F56">
        <v>16.149999999999999</v>
      </c>
      <c r="G56">
        <f t="shared" si="1"/>
        <v>1.6149999999999998</v>
      </c>
      <c r="H56">
        <v>7.8689999999999996E-2</v>
      </c>
      <c r="I56">
        <f t="shared" si="4"/>
        <v>0.33840000000000459</v>
      </c>
      <c r="K56">
        <v>13.25</v>
      </c>
      <c r="L56">
        <f t="shared" si="2"/>
        <v>1.325</v>
      </c>
      <c r="M56" s="1">
        <v>0.2119393</v>
      </c>
      <c r="N56">
        <f t="shared" si="5"/>
        <v>0.42956800000000167</v>
      </c>
    </row>
    <row r="57" spans="1:14" x14ac:dyDescent="0.25">
      <c r="A57">
        <v>16.399999999999999</v>
      </c>
      <c r="B57">
        <f t="shared" si="0"/>
        <v>1.64</v>
      </c>
      <c r="C57">
        <v>7.324E-2</v>
      </c>
      <c r="D57">
        <f t="shared" si="3"/>
        <v>0.16679999999999939</v>
      </c>
      <c r="F57">
        <v>16.399999999999999</v>
      </c>
      <c r="G57">
        <f t="shared" si="1"/>
        <v>1.64</v>
      </c>
      <c r="H57">
        <v>7.3969999999999994E-2</v>
      </c>
      <c r="I57">
        <f t="shared" si="4"/>
        <v>0.18879999999999908</v>
      </c>
      <c r="K57">
        <v>13.5</v>
      </c>
      <c r="L57">
        <f t="shared" si="2"/>
        <v>1.35</v>
      </c>
      <c r="M57" s="1">
        <v>0.19014529999999999</v>
      </c>
      <c r="N57">
        <f t="shared" si="5"/>
        <v>0.87175999999999565</v>
      </c>
    </row>
    <row r="58" spans="1:14" x14ac:dyDescent="0.25">
      <c r="A58">
        <v>16.649999999999999</v>
      </c>
      <c r="B58">
        <f t="shared" si="0"/>
        <v>1.6649999999999998</v>
      </c>
      <c r="C58">
        <v>7.0069999999999993E-2</v>
      </c>
      <c r="D58">
        <f t="shared" si="3"/>
        <v>0.12680000000000069</v>
      </c>
      <c r="F58">
        <v>16.649999999999999</v>
      </c>
      <c r="G58">
        <f t="shared" si="1"/>
        <v>1.6649999999999998</v>
      </c>
      <c r="H58">
        <v>6.6430000000000003E-2</v>
      </c>
      <c r="I58">
        <f t="shared" si="4"/>
        <v>0.3016000000000007</v>
      </c>
      <c r="K58">
        <v>13.75</v>
      </c>
      <c r="L58">
        <f t="shared" si="2"/>
        <v>1.375</v>
      </c>
      <c r="M58" s="1">
        <v>0.17703730000000001</v>
      </c>
      <c r="N58">
        <f t="shared" si="5"/>
        <v>0.52432000000000112</v>
      </c>
    </row>
    <row r="59" spans="1:14" x14ac:dyDescent="0.25">
      <c r="A59">
        <v>16.899999999999999</v>
      </c>
      <c r="B59">
        <f t="shared" si="0"/>
        <v>1.69</v>
      </c>
      <c r="C59">
        <v>6.9070000000000006E-2</v>
      </c>
      <c r="D59">
        <f t="shared" si="3"/>
        <v>3.9999999999999265E-2</v>
      </c>
      <c r="F59">
        <v>16.899999999999999</v>
      </c>
      <c r="G59">
        <f t="shared" si="1"/>
        <v>1.69</v>
      </c>
      <c r="H59">
        <v>6.2100000000000002E-2</v>
      </c>
      <c r="I59">
        <f t="shared" si="4"/>
        <v>0.1731999999999991</v>
      </c>
      <c r="K59">
        <v>14</v>
      </c>
      <c r="L59">
        <f t="shared" si="2"/>
        <v>1.4</v>
      </c>
      <c r="M59" s="1">
        <v>0.1672457</v>
      </c>
      <c r="N59">
        <f t="shared" si="5"/>
        <v>0.39166400000000184</v>
      </c>
    </row>
    <row r="60" spans="1:14" x14ac:dyDescent="0.25">
      <c r="A60">
        <v>17.149999999999999</v>
      </c>
      <c r="B60">
        <f t="shared" si="0"/>
        <v>1.7149999999999999</v>
      </c>
      <c r="C60">
        <v>5.6009999999999997E-2</v>
      </c>
      <c r="D60">
        <f t="shared" si="3"/>
        <v>0.5224000000000022</v>
      </c>
      <c r="F60">
        <v>17.149999999999999</v>
      </c>
      <c r="G60">
        <f t="shared" si="1"/>
        <v>1.7149999999999999</v>
      </c>
      <c r="H60">
        <v>5.4760000000000003E-2</v>
      </c>
      <c r="I60">
        <f t="shared" si="4"/>
        <v>0.29360000000000103</v>
      </c>
      <c r="K60">
        <v>14.25</v>
      </c>
      <c r="L60">
        <f t="shared" si="2"/>
        <v>1.425</v>
      </c>
      <c r="M60" s="1">
        <v>0.15161089999999999</v>
      </c>
      <c r="N60">
        <f t="shared" si="5"/>
        <v>0.62539199999999684</v>
      </c>
    </row>
    <row r="61" spans="1:14" x14ac:dyDescent="0.25">
      <c r="A61">
        <v>17.399999999999999</v>
      </c>
      <c r="B61">
        <f t="shared" si="0"/>
        <v>1.7399999999999998</v>
      </c>
      <c r="C61">
        <v>4.607E-2</v>
      </c>
      <c r="D61">
        <f t="shared" si="3"/>
        <v>0.39760000000000129</v>
      </c>
      <c r="F61">
        <v>17.399999999999999</v>
      </c>
      <c r="G61">
        <f t="shared" si="1"/>
        <v>1.7399999999999998</v>
      </c>
      <c r="H61">
        <v>3.7269999999999998E-2</v>
      </c>
      <c r="I61">
        <f t="shared" si="4"/>
        <v>0.69960000000000266</v>
      </c>
      <c r="K61">
        <v>14.5</v>
      </c>
      <c r="L61">
        <f t="shared" si="2"/>
        <v>1.45</v>
      </c>
      <c r="M61" s="1">
        <v>0.1419773</v>
      </c>
      <c r="N61">
        <f t="shared" si="5"/>
        <v>0.38534400000000107</v>
      </c>
    </row>
    <row r="62" spans="1:14" x14ac:dyDescent="0.25">
      <c r="A62">
        <v>17.649999999999999</v>
      </c>
      <c r="B62">
        <f t="shared" si="0"/>
        <v>1.7649999999999999</v>
      </c>
      <c r="C62">
        <v>2.9069999999999999E-2</v>
      </c>
      <c r="D62">
        <f t="shared" si="3"/>
        <v>0.67999999999999639</v>
      </c>
      <c r="F62">
        <v>17.649999999999999</v>
      </c>
      <c r="G62">
        <f t="shared" si="1"/>
        <v>1.7649999999999999</v>
      </c>
      <c r="H62">
        <v>2.8649999999999998E-2</v>
      </c>
      <c r="I62">
        <f t="shared" si="4"/>
        <v>0.34479999999999811</v>
      </c>
      <c r="K62">
        <v>14.75</v>
      </c>
      <c r="L62">
        <f t="shared" si="2"/>
        <v>1.4750000000000001</v>
      </c>
      <c r="M62" s="1">
        <v>0.13186990000000001</v>
      </c>
      <c r="N62">
        <f t="shared" si="5"/>
        <v>0.40429599999999738</v>
      </c>
    </row>
    <row r="63" spans="1:14" x14ac:dyDescent="0.25">
      <c r="A63">
        <v>17.899999999999999</v>
      </c>
      <c r="B63">
        <f t="shared" si="0"/>
        <v>1.7899999999999998</v>
      </c>
      <c r="C63">
        <v>2.7990000000000001E-2</v>
      </c>
      <c r="D63">
        <f t="shared" si="3"/>
        <v>4.3200000000000058E-2</v>
      </c>
      <c r="F63">
        <v>17.899999999999999</v>
      </c>
      <c r="G63">
        <f t="shared" si="1"/>
        <v>1.7899999999999998</v>
      </c>
      <c r="H63">
        <v>2.7119999999999998E-2</v>
      </c>
      <c r="I63">
        <f t="shared" si="4"/>
        <v>6.120000000000022E-2</v>
      </c>
      <c r="K63">
        <v>15</v>
      </c>
      <c r="L63">
        <f t="shared" si="2"/>
        <v>1.5</v>
      </c>
      <c r="M63" s="1">
        <v>0.1179722</v>
      </c>
      <c r="N63">
        <f t="shared" si="5"/>
        <v>0.55590800000000251</v>
      </c>
    </row>
    <row r="64" spans="1:14" x14ac:dyDescent="0.25">
      <c r="A64">
        <v>18.149999999999999</v>
      </c>
      <c r="B64">
        <f t="shared" si="0"/>
        <v>1.8149999999999999</v>
      </c>
      <c r="C64">
        <v>2.7369999999999998E-2</v>
      </c>
      <c r="D64">
        <f t="shared" si="3"/>
        <v>2.4799999999999968E-2</v>
      </c>
      <c r="F64">
        <v>18.149999999999999</v>
      </c>
      <c r="G64">
        <f t="shared" si="1"/>
        <v>1.8149999999999999</v>
      </c>
      <c r="H64">
        <v>2.6200000000000001E-2</v>
      </c>
      <c r="I64">
        <f t="shared" si="4"/>
        <v>3.6799999999999694E-2</v>
      </c>
      <c r="K64">
        <v>15.25</v>
      </c>
      <c r="L64">
        <f t="shared" si="2"/>
        <v>1.5249999999999999</v>
      </c>
      <c r="M64" s="1">
        <v>8.6860388999999996E-2</v>
      </c>
      <c r="N64">
        <f t="shared" si="5"/>
        <v>1.2444724400000045</v>
      </c>
    </row>
    <row r="65" spans="1:14" x14ac:dyDescent="0.25">
      <c r="A65">
        <v>18.399999999999999</v>
      </c>
      <c r="B65">
        <f t="shared" si="0"/>
        <v>1.8399999999999999</v>
      </c>
      <c r="C65">
        <v>2.5239999999999999E-2</v>
      </c>
      <c r="D65">
        <f t="shared" si="3"/>
        <v>8.5200000000000303E-2</v>
      </c>
      <c r="F65">
        <v>18.399999999999999</v>
      </c>
      <c r="G65">
        <f t="shared" si="1"/>
        <v>1.8399999999999999</v>
      </c>
      <c r="H65">
        <v>2.529E-2</v>
      </c>
      <c r="I65">
        <f t="shared" si="4"/>
        <v>3.6400000000000175E-2</v>
      </c>
      <c r="K65">
        <v>15.5</v>
      </c>
      <c r="L65">
        <f t="shared" si="2"/>
        <v>1.55</v>
      </c>
      <c r="M65" s="1">
        <v>8.2912191999999996E-2</v>
      </c>
      <c r="N65">
        <f t="shared" si="5"/>
        <v>0.15792787999999919</v>
      </c>
    </row>
    <row r="66" spans="1:14" x14ac:dyDescent="0.25">
      <c r="A66">
        <v>18.649999999999999</v>
      </c>
      <c r="B66">
        <f t="shared" si="0"/>
        <v>1.8649999999999998</v>
      </c>
      <c r="C66">
        <v>2.443E-2</v>
      </c>
      <c r="D66">
        <f t="shared" si="3"/>
        <v>3.2400000000000047E-2</v>
      </c>
      <c r="F66">
        <v>18.649999999999999</v>
      </c>
      <c r="G66">
        <f t="shared" si="1"/>
        <v>1.8649999999999998</v>
      </c>
      <c r="H66">
        <v>2.5059999999999999E-2</v>
      </c>
      <c r="I66">
        <f t="shared" si="4"/>
        <v>9.2000000000000744E-3</v>
      </c>
      <c r="K66">
        <v>15.75</v>
      </c>
      <c r="L66">
        <f t="shared" si="2"/>
        <v>1.575</v>
      </c>
      <c r="M66" s="1">
        <v>7.9279847000000001E-2</v>
      </c>
      <c r="N66">
        <f t="shared" si="5"/>
        <v>0.14529380000000033</v>
      </c>
    </row>
    <row r="67" spans="1:14" x14ac:dyDescent="0.25">
      <c r="A67">
        <v>18.899999999999999</v>
      </c>
      <c r="B67">
        <f t="shared" si="0"/>
        <v>1.89</v>
      </c>
      <c r="C67">
        <v>2.3130000000000001E-2</v>
      </c>
      <c r="D67">
        <f t="shared" si="3"/>
        <v>5.1999999999999685E-2</v>
      </c>
      <c r="F67">
        <v>18.899999999999999</v>
      </c>
      <c r="G67">
        <f t="shared" si="1"/>
        <v>1.89</v>
      </c>
      <c r="H67">
        <v>2.3910000000000001E-2</v>
      </c>
      <c r="I67">
        <f t="shared" si="4"/>
        <v>4.5999999999999687E-2</v>
      </c>
      <c r="K67">
        <v>16</v>
      </c>
      <c r="L67">
        <f t="shared" si="2"/>
        <v>1.6</v>
      </c>
      <c r="M67" s="1">
        <v>7.1067587000000002E-2</v>
      </c>
      <c r="N67">
        <f t="shared" si="5"/>
        <v>0.32849039999999818</v>
      </c>
    </row>
    <row r="68" spans="1:14" x14ac:dyDescent="0.25">
      <c r="A68">
        <v>19.149999999999999</v>
      </c>
      <c r="B68">
        <f t="shared" ref="B68:B76" si="6">A68/10</f>
        <v>1.9149999999999998</v>
      </c>
      <c r="C68">
        <v>2.24E-2</v>
      </c>
      <c r="D68">
        <f t="shared" si="3"/>
        <v>2.9200000000000163E-2</v>
      </c>
      <c r="F68">
        <v>19.149999999999999</v>
      </c>
      <c r="G68">
        <f t="shared" ref="G68:G76" si="7">F68/10</f>
        <v>1.9149999999999998</v>
      </c>
      <c r="H68">
        <v>2.265E-2</v>
      </c>
      <c r="I68">
        <f t="shared" si="4"/>
        <v>5.0400000000000209E-2</v>
      </c>
      <c r="K68">
        <v>16.25</v>
      </c>
      <c r="L68">
        <f t="shared" ref="L68:L87" si="8">K68/10</f>
        <v>1.625</v>
      </c>
      <c r="M68" s="1">
        <v>6.6329746999999994E-2</v>
      </c>
      <c r="N68">
        <f t="shared" si="5"/>
        <v>0.18951360000000095</v>
      </c>
    </row>
    <row r="69" spans="1:14" x14ac:dyDescent="0.25">
      <c r="A69">
        <v>19.399999999999999</v>
      </c>
      <c r="B69">
        <f t="shared" si="6"/>
        <v>1.94</v>
      </c>
      <c r="C69">
        <v>2.1530000000000001E-2</v>
      </c>
      <c r="D69">
        <f t="shared" ref="D69:D76" si="9">(C68-C69)/(B69-B68)</f>
        <v>3.4799999999999782E-2</v>
      </c>
      <c r="F69">
        <v>19.399999999999999</v>
      </c>
      <c r="G69">
        <f t="shared" si="7"/>
        <v>1.94</v>
      </c>
      <c r="H69">
        <v>2.0920000000000001E-2</v>
      </c>
      <c r="I69">
        <f t="shared" ref="I69:I76" si="10">(H68-H69)/(G69-G68)</f>
        <v>6.9199999999999581E-2</v>
      </c>
      <c r="K69">
        <v>16.5</v>
      </c>
      <c r="L69">
        <f t="shared" si="8"/>
        <v>1.65</v>
      </c>
      <c r="M69" s="1">
        <v>6.3329116000000005E-2</v>
      </c>
      <c r="N69">
        <f t="shared" ref="N69:N87" si="11">(M68-M69)/(L69-L68)</f>
        <v>0.12002524000000002</v>
      </c>
    </row>
    <row r="70" spans="1:14" x14ac:dyDescent="0.25">
      <c r="A70">
        <v>19.649999999999999</v>
      </c>
      <c r="B70">
        <f t="shared" si="6"/>
        <v>1.9649999999999999</v>
      </c>
      <c r="C70">
        <v>1.9800000000000002E-2</v>
      </c>
      <c r="D70">
        <f t="shared" si="9"/>
        <v>6.9200000000000206E-2</v>
      </c>
      <c r="F70">
        <v>19.649999999999999</v>
      </c>
      <c r="G70">
        <f t="shared" si="7"/>
        <v>1.9649999999999999</v>
      </c>
      <c r="H70">
        <v>2.0049999999999998E-2</v>
      </c>
      <c r="I70">
        <f t="shared" si="10"/>
        <v>3.4800000000000234E-2</v>
      </c>
      <c r="K70">
        <v>16.75</v>
      </c>
      <c r="L70">
        <f t="shared" si="8"/>
        <v>1.675</v>
      </c>
      <c r="M70" s="1">
        <v>6.1749838000000001E-2</v>
      </c>
      <c r="N70">
        <f t="shared" si="11"/>
        <v>6.3171119999999803E-2</v>
      </c>
    </row>
    <row r="71" spans="1:14" x14ac:dyDescent="0.25">
      <c r="A71">
        <v>19.899999999999999</v>
      </c>
      <c r="B71">
        <f t="shared" si="6"/>
        <v>1.9899999999999998</v>
      </c>
      <c r="C71">
        <v>1.967E-2</v>
      </c>
      <c r="D71">
        <f t="shared" si="9"/>
        <v>5.2000000000000839E-3</v>
      </c>
      <c r="F71">
        <v>19.899999999999999</v>
      </c>
      <c r="G71">
        <f t="shared" si="7"/>
        <v>1.9899999999999998</v>
      </c>
      <c r="H71">
        <v>1.789E-2</v>
      </c>
      <c r="I71">
        <f t="shared" si="10"/>
        <v>8.6400000000000254E-2</v>
      </c>
      <c r="K71">
        <v>17</v>
      </c>
      <c r="L71">
        <f t="shared" si="8"/>
        <v>1.7</v>
      </c>
      <c r="M71" s="1">
        <v>5.0221096999999999E-2</v>
      </c>
      <c r="N71">
        <f t="shared" si="11"/>
        <v>0.46114964000000175</v>
      </c>
    </row>
    <row r="72" spans="1:14" x14ac:dyDescent="0.25">
      <c r="A72">
        <v>20.149999999999999</v>
      </c>
      <c r="B72">
        <f t="shared" si="6"/>
        <v>2.0149999999999997</v>
      </c>
      <c r="C72">
        <v>1.7489999999999999E-2</v>
      </c>
      <c r="D72">
        <f t="shared" si="9"/>
        <v>8.7200000000000361E-2</v>
      </c>
      <c r="F72">
        <v>20.149999999999999</v>
      </c>
      <c r="G72">
        <f t="shared" si="7"/>
        <v>2.0149999999999997</v>
      </c>
      <c r="H72">
        <v>1.536E-2</v>
      </c>
      <c r="I72">
        <f t="shared" si="10"/>
        <v>0.10120000000000033</v>
      </c>
      <c r="K72">
        <v>17.25</v>
      </c>
      <c r="L72">
        <f t="shared" si="8"/>
        <v>1.7250000000000001</v>
      </c>
      <c r="M72" s="1">
        <v>4.2798481999999999E-2</v>
      </c>
      <c r="N72">
        <f t="shared" si="11"/>
        <v>0.29690459999999841</v>
      </c>
    </row>
    <row r="73" spans="1:14" x14ac:dyDescent="0.25">
      <c r="A73">
        <v>20.399999999999999</v>
      </c>
      <c r="B73">
        <f t="shared" si="6"/>
        <v>2.04</v>
      </c>
      <c r="C73">
        <v>1.5100000000000001E-2</v>
      </c>
      <c r="D73">
        <f t="shared" si="9"/>
        <v>9.5599999999998561E-2</v>
      </c>
      <c r="F73">
        <v>20.399999999999999</v>
      </c>
      <c r="G73">
        <f t="shared" si="7"/>
        <v>2.04</v>
      </c>
      <c r="H73">
        <v>0</v>
      </c>
      <c r="I73">
        <f t="shared" si="10"/>
        <v>0.61439999999999129</v>
      </c>
      <c r="K73">
        <v>17.5</v>
      </c>
      <c r="L73">
        <f t="shared" si="8"/>
        <v>1.75</v>
      </c>
      <c r="M73" s="1">
        <v>2.7321539999999998E-2</v>
      </c>
      <c r="N73">
        <f t="shared" si="11"/>
        <v>0.61907768000000218</v>
      </c>
    </row>
    <row r="74" spans="1:14" x14ac:dyDescent="0.25">
      <c r="A74">
        <v>20.65</v>
      </c>
      <c r="B74">
        <f t="shared" si="6"/>
        <v>2.0649999999999999</v>
      </c>
      <c r="C74">
        <v>0</v>
      </c>
      <c r="D74">
        <f t="shared" si="9"/>
        <v>0.6040000000000022</v>
      </c>
      <c r="F74">
        <v>20.65</v>
      </c>
      <c r="G74">
        <f t="shared" si="7"/>
        <v>2.0649999999999999</v>
      </c>
      <c r="H74">
        <v>0</v>
      </c>
      <c r="I74">
        <f t="shared" si="10"/>
        <v>0</v>
      </c>
      <c r="K74">
        <v>17.75</v>
      </c>
      <c r="L74">
        <f t="shared" si="8"/>
        <v>1.7749999999999999</v>
      </c>
      <c r="M74" s="1">
        <v>2.6216045E-2</v>
      </c>
      <c r="N74">
        <f t="shared" si="11"/>
        <v>4.421980000000008E-2</v>
      </c>
    </row>
    <row r="75" spans="1:14" x14ac:dyDescent="0.25">
      <c r="A75">
        <v>20.9</v>
      </c>
      <c r="B75">
        <f t="shared" si="6"/>
        <v>2.09</v>
      </c>
      <c r="C75">
        <v>0</v>
      </c>
      <c r="D75">
        <f t="shared" si="9"/>
        <v>0</v>
      </c>
      <c r="F75">
        <v>20.9</v>
      </c>
      <c r="G75">
        <f t="shared" si="7"/>
        <v>2.09</v>
      </c>
      <c r="H75">
        <v>0</v>
      </c>
      <c r="I75">
        <f t="shared" si="10"/>
        <v>0</v>
      </c>
      <c r="K75">
        <v>18</v>
      </c>
      <c r="L75">
        <f t="shared" si="8"/>
        <v>1.8</v>
      </c>
      <c r="M75" s="1">
        <v>2.5742260999999999E-2</v>
      </c>
      <c r="N75">
        <f t="shared" si="11"/>
        <v>1.8951359999999955E-2</v>
      </c>
    </row>
    <row r="76" spans="1:14" x14ac:dyDescent="0.25">
      <c r="A76">
        <v>21.15</v>
      </c>
      <c r="B76">
        <f t="shared" si="6"/>
        <v>2.1149999999999998</v>
      </c>
      <c r="C76">
        <v>0</v>
      </c>
      <c r="D76">
        <f t="shared" si="9"/>
        <v>0</v>
      </c>
      <c r="F76">
        <v>21.15</v>
      </c>
      <c r="G76">
        <f t="shared" si="7"/>
        <v>2.1149999999999998</v>
      </c>
      <c r="H76">
        <v>0</v>
      </c>
      <c r="I76">
        <f t="shared" si="10"/>
        <v>0</v>
      </c>
      <c r="K76">
        <v>18.25</v>
      </c>
      <c r="L76">
        <f t="shared" si="8"/>
        <v>1.825</v>
      </c>
      <c r="M76" s="1">
        <v>2.4162980000000001E-2</v>
      </c>
      <c r="N76">
        <f t="shared" si="11"/>
        <v>6.3171240000000156E-2</v>
      </c>
    </row>
    <row r="77" spans="1:14" x14ac:dyDescent="0.25">
      <c r="K77">
        <v>18.5</v>
      </c>
      <c r="L77">
        <f t="shared" si="8"/>
        <v>1.85</v>
      </c>
      <c r="M77" s="1">
        <v>2.3531269E-2</v>
      </c>
      <c r="N77">
        <f t="shared" si="11"/>
        <v>2.5268439999999868E-2</v>
      </c>
    </row>
    <row r="78" spans="1:14" x14ac:dyDescent="0.25">
      <c r="K78">
        <v>18.75</v>
      </c>
      <c r="L78">
        <f t="shared" si="8"/>
        <v>1.875</v>
      </c>
      <c r="M78" s="1">
        <v>2.1951987999999999E-2</v>
      </c>
      <c r="N78">
        <f t="shared" si="11"/>
        <v>6.3171240000000295E-2</v>
      </c>
    </row>
    <row r="79" spans="1:14" x14ac:dyDescent="0.25">
      <c r="K79">
        <v>19</v>
      </c>
      <c r="L79">
        <f t="shared" si="8"/>
        <v>1.9</v>
      </c>
      <c r="M79" s="1">
        <v>2.1320278000000002E-2</v>
      </c>
      <c r="N79">
        <f t="shared" si="11"/>
        <v>2.5268399999999976E-2</v>
      </c>
    </row>
    <row r="80" spans="1:14" x14ac:dyDescent="0.25">
      <c r="K80">
        <v>19.25</v>
      </c>
      <c r="L80">
        <f t="shared" si="8"/>
        <v>1.925</v>
      </c>
      <c r="M80" s="1">
        <v>2.0056852999999999E-2</v>
      </c>
      <c r="N80">
        <f t="shared" si="11"/>
        <v>5.0536999999999811E-2</v>
      </c>
    </row>
    <row r="81" spans="11:14" x14ac:dyDescent="0.25">
      <c r="K81">
        <v>19.5</v>
      </c>
      <c r="L81">
        <f t="shared" si="8"/>
        <v>1.95</v>
      </c>
      <c r="M81" s="1">
        <v>1.8477574E-2</v>
      </c>
      <c r="N81">
        <f t="shared" si="11"/>
        <v>6.3171160000000198E-2</v>
      </c>
    </row>
    <row r="82" spans="11:14" x14ac:dyDescent="0.25">
      <c r="K82">
        <v>19.75</v>
      </c>
      <c r="L82">
        <f t="shared" si="8"/>
        <v>1.9750000000000001</v>
      </c>
      <c r="M82" s="1">
        <v>1.8477574E-2</v>
      </c>
      <c r="N82">
        <f t="shared" si="11"/>
        <v>0</v>
      </c>
    </row>
    <row r="83" spans="11:14" x14ac:dyDescent="0.25">
      <c r="K83">
        <v>20</v>
      </c>
      <c r="L83">
        <f t="shared" si="8"/>
        <v>2</v>
      </c>
      <c r="M83" s="1">
        <v>1.7056221E-2</v>
      </c>
      <c r="N83">
        <f t="shared" si="11"/>
        <v>5.6854120000000209E-2</v>
      </c>
    </row>
    <row r="84" spans="11:14" x14ac:dyDescent="0.25">
      <c r="K84">
        <v>20.25</v>
      </c>
      <c r="L84">
        <f t="shared" si="8"/>
        <v>2.0249999999999999</v>
      </c>
      <c r="M84" s="1">
        <v>1.5950725999999998E-2</v>
      </c>
      <c r="N84">
        <f t="shared" si="11"/>
        <v>4.4219800000000219E-2</v>
      </c>
    </row>
    <row r="85" spans="11:14" x14ac:dyDescent="0.25">
      <c r="K85">
        <v>20.5</v>
      </c>
      <c r="L85">
        <f t="shared" si="8"/>
        <v>2.0499999999999998</v>
      </c>
      <c r="M85" s="1">
        <v>0</v>
      </c>
      <c r="N85">
        <f t="shared" si="11"/>
        <v>0.63802904000000216</v>
      </c>
    </row>
    <row r="86" spans="11:14" x14ac:dyDescent="0.25">
      <c r="K86">
        <v>20.75</v>
      </c>
      <c r="L86">
        <f t="shared" si="8"/>
        <v>2.0750000000000002</v>
      </c>
      <c r="M86" s="1">
        <v>0</v>
      </c>
      <c r="N86">
        <f t="shared" si="11"/>
        <v>0</v>
      </c>
    </row>
    <row r="87" spans="11:14" x14ac:dyDescent="0.25">
      <c r="K87">
        <v>21</v>
      </c>
      <c r="L87">
        <f t="shared" si="8"/>
        <v>2.1</v>
      </c>
      <c r="M87" s="1">
        <v>0</v>
      </c>
      <c r="N87">
        <f t="shared" si="11"/>
        <v>0</v>
      </c>
    </row>
    <row r="88" spans="11:14" x14ac:dyDescent="0.25">
      <c r="M88" s="1"/>
    </row>
    <row r="89" spans="11:14" x14ac:dyDescent="0.25">
      <c r="M89" s="1"/>
    </row>
    <row r="90" spans="11:14" x14ac:dyDescent="0.25">
      <c r="M90" s="1"/>
    </row>
    <row r="91" spans="11:14" x14ac:dyDescent="0.25">
      <c r="M91" s="1"/>
    </row>
    <row r="92" spans="11:14" x14ac:dyDescent="0.25">
      <c r="M92" s="1"/>
    </row>
    <row r="93" spans="11:14" x14ac:dyDescent="0.25">
      <c r="M93" s="1"/>
    </row>
    <row r="94" spans="11:14" x14ac:dyDescent="0.25">
      <c r="M94" s="1"/>
    </row>
    <row r="95" spans="11:14" x14ac:dyDescent="0.25">
      <c r="M95" s="1"/>
    </row>
    <row r="96" spans="11:14" x14ac:dyDescent="0.25">
      <c r="M96" s="1"/>
    </row>
    <row r="97" spans="13:13" x14ac:dyDescent="0.25">
      <c r="M97" s="1"/>
    </row>
    <row r="98" spans="13:13" x14ac:dyDescent="0.25">
      <c r="M98" s="1"/>
    </row>
    <row r="99" spans="13:13" x14ac:dyDescent="0.25">
      <c r="M99" s="1"/>
    </row>
    <row r="100" spans="13:13" x14ac:dyDescent="0.25">
      <c r="M100" s="1"/>
    </row>
    <row r="101" spans="13:13" x14ac:dyDescent="0.25">
      <c r="M101" s="1"/>
    </row>
    <row r="102" spans="13:13" x14ac:dyDescent="0.25">
      <c r="M102" s="1"/>
    </row>
    <row r="103" spans="13:13" x14ac:dyDescent="0.25">
      <c r="M103" s="1"/>
    </row>
    <row r="104" spans="13:13" x14ac:dyDescent="0.25">
      <c r="M104" s="1"/>
    </row>
    <row r="105" spans="13:13" x14ac:dyDescent="0.25">
      <c r="M105" s="1"/>
    </row>
    <row r="106" spans="13:13" x14ac:dyDescent="0.25">
      <c r="M106" s="1"/>
    </row>
    <row r="107" spans="13:13" x14ac:dyDescent="0.25">
      <c r="M107" s="1"/>
    </row>
    <row r="108" spans="13:13" x14ac:dyDescent="0.25">
      <c r="M108" s="1"/>
    </row>
    <row r="109" spans="13:13" x14ac:dyDescent="0.25">
      <c r="M109" s="1"/>
    </row>
    <row r="110" spans="13:13" x14ac:dyDescent="0.25">
      <c r="M110" s="1"/>
    </row>
    <row r="111" spans="13:13" x14ac:dyDescent="0.25">
      <c r="M111" s="1"/>
    </row>
    <row r="112" spans="13:13" x14ac:dyDescent="0.25">
      <c r="M112" s="1"/>
    </row>
    <row r="113" spans="13:13" x14ac:dyDescent="0.25">
      <c r="M113" s="1"/>
    </row>
    <row r="114" spans="13:13" x14ac:dyDescent="0.25">
      <c r="M114" s="1"/>
    </row>
    <row r="115" spans="13:13" x14ac:dyDescent="0.25">
      <c r="M115" s="1"/>
    </row>
    <row r="116" spans="13:13" x14ac:dyDescent="0.25">
      <c r="M116" s="1"/>
    </row>
    <row r="117" spans="13:13" x14ac:dyDescent="0.25">
      <c r="M117" s="1"/>
    </row>
    <row r="118" spans="13:13" x14ac:dyDescent="0.25">
      <c r="M118" s="1"/>
    </row>
    <row r="119" spans="13:13" x14ac:dyDescent="0.25">
      <c r="M119" s="1"/>
    </row>
    <row r="120" spans="13:13" x14ac:dyDescent="0.25">
      <c r="M120" s="1"/>
    </row>
    <row r="121" spans="13:13" x14ac:dyDescent="0.25">
      <c r="M121" s="1"/>
    </row>
    <row r="122" spans="13:13" x14ac:dyDescent="0.25">
      <c r="M122" s="1"/>
    </row>
    <row r="123" spans="13:13" x14ac:dyDescent="0.25">
      <c r="M123" s="1"/>
    </row>
    <row r="124" spans="13:13" x14ac:dyDescent="0.25">
      <c r="M124" s="1"/>
    </row>
    <row r="125" spans="13:13" x14ac:dyDescent="0.25">
      <c r="M125" s="1"/>
    </row>
    <row r="126" spans="13:13" x14ac:dyDescent="0.25">
      <c r="M126" s="1"/>
    </row>
    <row r="127" spans="13:13" x14ac:dyDescent="0.25">
      <c r="M127" s="1"/>
    </row>
    <row r="128" spans="13:13" x14ac:dyDescent="0.25">
      <c r="M128" s="1"/>
    </row>
    <row r="129" spans="13:13" x14ac:dyDescent="0.25">
      <c r="M129" s="1"/>
    </row>
    <row r="130" spans="13:13" x14ac:dyDescent="0.25">
      <c r="M130" s="1"/>
    </row>
    <row r="131" spans="13:13" x14ac:dyDescent="0.25">
      <c r="M131" s="1"/>
    </row>
    <row r="132" spans="13:13" x14ac:dyDescent="0.25">
      <c r="M132" s="1"/>
    </row>
    <row r="133" spans="13:13" x14ac:dyDescent="0.25">
      <c r="M133" s="1"/>
    </row>
    <row r="134" spans="13:13" x14ac:dyDescent="0.25">
      <c r="M134" s="1"/>
    </row>
    <row r="135" spans="13:13" x14ac:dyDescent="0.25">
      <c r="M135" s="1"/>
    </row>
    <row r="136" spans="13:13" x14ac:dyDescent="0.25">
      <c r="M136" s="1"/>
    </row>
    <row r="137" spans="13:13" x14ac:dyDescent="0.25">
      <c r="M137" s="1"/>
    </row>
    <row r="138" spans="13:13" x14ac:dyDescent="0.25">
      <c r="M138" s="1"/>
    </row>
    <row r="139" spans="13:13" x14ac:dyDescent="0.25">
      <c r="M139" s="1"/>
    </row>
    <row r="140" spans="13:13" x14ac:dyDescent="0.25">
      <c r="M140" s="1"/>
    </row>
    <row r="141" spans="13:13" x14ac:dyDescent="0.25">
      <c r="M141" s="1"/>
    </row>
    <row r="142" spans="13:13" x14ac:dyDescent="0.25">
      <c r="M142" s="1"/>
    </row>
    <row r="143" spans="13:13" x14ac:dyDescent="0.25">
      <c r="M143" s="1"/>
    </row>
    <row r="144" spans="13:13" x14ac:dyDescent="0.25">
      <c r="M144" s="1"/>
    </row>
    <row r="145" spans="13:13" x14ac:dyDescent="0.25">
      <c r="M145" s="1"/>
    </row>
    <row r="146" spans="13:13" x14ac:dyDescent="0.25">
      <c r="M146" s="1"/>
    </row>
    <row r="147" spans="13:13" x14ac:dyDescent="0.25">
      <c r="M147" s="1"/>
    </row>
    <row r="148" spans="13:13" x14ac:dyDescent="0.25">
      <c r="M148" s="1"/>
    </row>
    <row r="149" spans="13:13" x14ac:dyDescent="0.25">
      <c r="M149" s="1"/>
    </row>
    <row r="150" spans="13:13" x14ac:dyDescent="0.25">
      <c r="M150" s="1"/>
    </row>
    <row r="151" spans="13:13" x14ac:dyDescent="0.25">
      <c r="M151" s="1"/>
    </row>
    <row r="152" spans="13:13" x14ac:dyDescent="0.25">
      <c r="M152" s="1"/>
    </row>
    <row r="153" spans="13:13" x14ac:dyDescent="0.25">
      <c r="M153" s="1"/>
    </row>
    <row r="154" spans="13:13" x14ac:dyDescent="0.25">
      <c r="M154" s="1"/>
    </row>
    <row r="155" spans="13:13" x14ac:dyDescent="0.25">
      <c r="M155" s="1"/>
    </row>
    <row r="156" spans="13:13" x14ac:dyDescent="0.25">
      <c r="M156" s="1"/>
    </row>
    <row r="157" spans="13:13" x14ac:dyDescent="0.25">
      <c r="M157" s="1"/>
    </row>
    <row r="158" spans="13:13" x14ac:dyDescent="0.25">
      <c r="M158" s="1"/>
    </row>
    <row r="159" spans="13:13" x14ac:dyDescent="0.25">
      <c r="M159" s="1"/>
    </row>
    <row r="160" spans="13:13" x14ac:dyDescent="0.25">
      <c r="M160" s="1"/>
    </row>
    <row r="161" spans="13:13" x14ac:dyDescent="0.25">
      <c r="M161" s="1"/>
    </row>
    <row r="162" spans="13:13" x14ac:dyDescent="0.25">
      <c r="M162" s="1"/>
    </row>
    <row r="163" spans="13:13" x14ac:dyDescent="0.25">
      <c r="M163" s="1"/>
    </row>
    <row r="164" spans="13:13" x14ac:dyDescent="0.25">
      <c r="M164" s="1"/>
    </row>
    <row r="165" spans="13:13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</sheetData>
  <mergeCells count="4">
    <mergeCell ref="A1:D1"/>
    <mergeCell ref="K1:N1"/>
    <mergeCell ref="P1:R1"/>
    <mergeCell ref="F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D722-8C27-4A93-9C7B-B8744217997E}">
  <dimension ref="A1:H76"/>
  <sheetViews>
    <sheetView workbookViewId="0">
      <selection activeCell="D3" sqref="D3"/>
    </sheetView>
  </sheetViews>
  <sheetFormatPr defaultRowHeight="15" x14ac:dyDescent="0.25"/>
  <cols>
    <col min="3" max="3" width="14.85546875" bestFit="1" customWidth="1"/>
    <col min="6" max="6" width="18.5703125" bestFit="1" customWidth="1"/>
  </cols>
  <sheetData>
    <row r="1" spans="1:8" x14ac:dyDescent="0.25">
      <c r="A1" s="5" t="s">
        <v>21</v>
      </c>
      <c r="B1" s="5"/>
      <c r="C1" s="5"/>
      <c r="D1" s="5"/>
      <c r="F1" s="5" t="s">
        <v>15</v>
      </c>
      <c r="G1" s="5"/>
      <c r="H1" s="5"/>
    </row>
    <row r="2" spans="1:8" x14ac:dyDescent="0.25">
      <c r="A2" t="s">
        <v>3</v>
      </c>
      <c r="B2" t="s">
        <v>2</v>
      </c>
      <c r="C2" t="s">
        <v>0</v>
      </c>
      <c r="D2" t="s">
        <v>1</v>
      </c>
      <c r="F2" t="str">
        <f>A1</f>
        <v>PrO-VAT, 24 Frames</v>
      </c>
      <c r="G2" s="4" t="s">
        <v>19</v>
      </c>
      <c r="H2" t="s">
        <v>12</v>
      </c>
    </row>
    <row r="3" spans="1:8" x14ac:dyDescent="0.25">
      <c r="A3">
        <v>0</v>
      </c>
      <c r="B3">
        <f>A3/10</f>
        <v>0</v>
      </c>
      <c r="C3">
        <v>1</v>
      </c>
      <c r="D3">
        <v>0</v>
      </c>
    </row>
    <row r="4" spans="1:8" x14ac:dyDescent="0.25">
      <c r="A4">
        <v>3.15</v>
      </c>
      <c r="B4">
        <f t="shared" ref="B4:B67" si="0">A4/10</f>
        <v>0.315</v>
      </c>
      <c r="C4">
        <v>1</v>
      </c>
      <c r="D4">
        <f>(C3-C4)/(B4-B3)</f>
        <v>0</v>
      </c>
    </row>
    <row r="5" spans="1:8" x14ac:dyDescent="0.25">
      <c r="A5">
        <v>3.4</v>
      </c>
      <c r="B5">
        <f t="shared" si="0"/>
        <v>0.33999999999999997</v>
      </c>
      <c r="C5">
        <v>0.99458999999999997</v>
      </c>
      <c r="D5">
        <f t="shared" ref="D5:D68" si="1">(C4-C5)/(B5-B4)</f>
        <v>0.21640000000000131</v>
      </c>
    </row>
    <row r="6" spans="1:8" x14ac:dyDescent="0.25">
      <c r="A6">
        <v>3.65</v>
      </c>
      <c r="B6">
        <f t="shared" si="0"/>
        <v>0.36499999999999999</v>
      </c>
      <c r="C6">
        <v>0.97867999999999999</v>
      </c>
      <c r="D6">
        <f t="shared" si="1"/>
        <v>0.63639999999999863</v>
      </c>
    </row>
    <row r="7" spans="1:8" x14ac:dyDescent="0.25">
      <c r="A7">
        <v>3.9</v>
      </c>
      <c r="B7">
        <f t="shared" si="0"/>
        <v>0.39</v>
      </c>
      <c r="C7">
        <v>0.96057000000000003</v>
      </c>
      <c r="D7">
        <f t="shared" si="1"/>
        <v>0.72439999999999771</v>
      </c>
    </row>
    <row r="8" spans="1:8" x14ac:dyDescent="0.25">
      <c r="A8">
        <v>4.1500000000000004</v>
      </c>
      <c r="B8">
        <f t="shared" si="0"/>
        <v>0.41500000000000004</v>
      </c>
      <c r="C8">
        <v>0.94106999999999996</v>
      </c>
      <c r="D8">
        <f t="shared" si="1"/>
        <v>0.78000000000000225</v>
      </c>
    </row>
    <row r="9" spans="1:8" x14ac:dyDescent="0.25">
      <c r="A9">
        <v>4.4000000000000004</v>
      </c>
      <c r="B9">
        <f t="shared" si="0"/>
        <v>0.44000000000000006</v>
      </c>
      <c r="C9">
        <v>0.92081000000000002</v>
      </c>
      <c r="D9">
        <f t="shared" si="1"/>
        <v>0.81039999999999712</v>
      </c>
    </row>
    <row r="10" spans="1:8" x14ac:dyDescent="0.25">
      <c r="A10">
        <v>4.6500000000000004</v>
      </c>
      <c r="B10">
        <f t="shared" si="0"/>
        <v>0.46500000000000002</v>
      </c>
      <c r="C10">
        <v>0.90036000000000005</v>
      </c>
      <c r="D10">
        <f t="shared" si="1"/>
        <v>0.81799999999999984</v>
      </c>
    </row>
    <row r="11" spans="1:8" x14ac:dyDescent="0.25">
      <c r="A11">
        <v>4.9000000000000004</v>
      </c>
      <c r="B11">
        <f t="shared" si="0"/>
        <v>0.49000000000000005</v>
      </c>
      <c r="C11">
        <v>0.87960000000000005</v>
      </c>
      <c r="D11">
        <f t="shared" si="1"/>
        <v>0.83039999999999925</v>
      </c>
    </row>
    <row r="12" spans="1:8" x14ac:dyDescent="0.25">
      <c r="A12">
        <v>5.15</v>
      </c>
      <c r="B12">
        <f t="shared" si="0"/>
        <v>0.51500000000000001</v>
      </c>
      <c r="C12">
        <v>0.85873999999999995</v>
      </c>
      <c r="D12">
        <f t="shared" si="1"/>
        <v>0.83440000000000514</v>
      </c>
    </row>
    <row r="13" spans="1:8" x14ac:dyDescent="0.25">
      <c r="A13">
        <v>5.4</v>
      </c>
      <c r="B13">
        <f t="shared" si="0"/>
        <v>0.54</v>
      </c>
      <c r="C13">
        <v>0.83789999999999998</v>
      </c>
      <c r="D13">
        <f t="shared" si="1"/>
        <v>0.83359999999999801</v>
      </c>
    </row>
    <row r="14" spans="1:8" x14ac:dyDescent="0.25">
      <c r="A14">
        <v>5.65</v>
      </c>
      <c r="B14">
        <f t="shared" si="0"/>
        <v>0.56500000000000006</v>
      </c>
      <c r="C14">
        <v>0.81620000000000004</v>
      </c>
      <c r="D14">
        <f t="shared" si="1"/>
        <v>0.86799999999999689</v>
      </c>
    </row>
    <row r="15" spans="1:8" x14ac:dyDescent="0.25">
      <c r="A15">
        <v>5.9</v>
      </c>
      <c r="B15">
        <f t="shared" si="0"/>
        <v>0.59000000000000008</v>
      </c>
      <c r="C15">
        <v>0.79430999999999996</v>
      </c>
      <c r="D15">
        <f t="shared" si="1"/>
        <v>0.87560000000000227</v>
      </c>
    </row>
    <row r="16" spans="1:8" x14ac:dyDescent="0.25">
      <c r="A16">
        <v>6.15</v>
      </c>
      <c r="B16">
        <f t="shared" si="0"/>
        <v>0.61499999999999999</v>
      </c>
      <c r="C16">
        <v>0.77329000000000003</v>
      </c>
      <c r="D16">
        <f t="shared" si="1"/>
        <v>0.8408000000000001</v>
      </c>
    </row>
    <row r="17" spans="1:4" x14ac:dyDescent="0.25">
      <c r="A17">
        <v>6.4</v>
      </c>
      <c r="B17">
        <f t="shared" si="0"/>
        <v>0.64</v>
      </c>
      <c r="C17">
        <v>0.75244999999999995</v>
      </c>
      <c r="D17">
        <f t="shared" si="1"/>
        <v>0.83360000000000245</v>
      </c>
    </row>
    <row r="18" spans="1:4" x14ac:dyDescent="0.25">
      <c r="A18">
        <v>6.65</v>
      </c>
      <c r="B18">
        <f t="shared" si="0"/>
        <v>0.66500000000000004</v>
      </c>
      <c r="C18">
        <v>0.73068</v>
      </c>
      <c r="D18">
        <f t="shared" si="1"/>
        <v>0.87079999999999746</v>
      </c>
    </row>
    <row r="19" spans="1:4" x14ac:dyDescent="0.25">
      <c r="A19">
        <v>6.9</v>
      </c>
      <c r="B19">
        <f t="shared" si="0"/>
        <v>0.69000000000000006</v>
      </c>
      <c r="C19">
        <v>0.70828000000000002</v>
      </c>
      <c r="D19">
        <f t="shared" si="1"/>
        <v>0.89599999999999824</v>
      </c>
    </row>
    <row r="20" spans="1:4" x14ac:dyDescent="0.25">
      <c r="A20">
        <v>7.15</v>
      </c>
      <c r="B20">
        <f t="shared" si="0"/>
        <v>0.71500000000000008</v>
      </c>
      <c r="C20">
        <v>0.68652999999999997</v>
      </c>
      <c r="D20">
        <f t="shared" si="1"/>
        <v>0.87000000000000111</v>
      </c>
    </row>
    <row r="21" spans="1:4" x14ac:dyDescent="0.25">
      <c r="A21">
        <v>7.4</v>
      </c>
      <c r="B21">
        <f t="shared" si="0"/>
        <v>0.74</v>
      </c>
      <c r="C21">
        <v>0.66439999999999999</v>
      </c>
      <c r="D21">
        <f t="shared" si="1"/>
        <v>0.88520000000000243</v>
      </c>
    </row>
    <row r="22" spans="1:4" x14ac:dyDescent="0.25">
      <c r="A22">
        <v>7.65</v>
      </c>
      <c r="B22">
        <f t="shared" si="0"/>
        <v>0.76500000000000001</v>
      </c>
      <c r="C22">
        <v>0.64183999999999997</v>
      </c>
      <c r="D22">
        <f t="shared" si="1"/>
        <v>0.9024000000000002</v>
      </c>
    </row>
    <row r="23" spans="1:4" x14ac:dyDescent="0.25">
      <c r="A23">
        <v>7.9</v>
      </c>
      <c r="B23">
        <f t="shared" si="0"/>
        <v>0.79</v>
      </c>
      <c r="C23">
        <v>0.61999000000000004</v>
      </c>
      <c r="D23">
        <f t="shared" si="1"/>
        <v>0.87399999999999622</v>
      </c>
    </row>
    <row r="24" spans="1:4" x14ac:dyDescent="0.25">
      <c r="A24">
        <v>8.15</v>
      </c>
      <c r="B24">
        <f t="shared" si="0"/>
        <v>0.81500000000000006</v>
      </c>
      <c r="C24">
        <v>0.59782999999999997</v>
      </c>
      <c r="D24">
        <f t="shared" si="1"/>
        <v>0.88640000000000196</v>
      </c>
    </row>
    <row r="25" spans="1:4" x14ac:dyDescent="0.25">
      <c r="A25">
        <v>8.4</v>
      </c>
      <c r="B25">
        <f t="shared" si="0"/>
        <v>0.84000000000000008</v>
      </c>
      <c r="C25">
        <v>0.57533999999999996</v>
      </c>
      <c r="D25">
        <f t="shared" si="1"/>
        <v>0.89959999999999962</v>
      </c>
    </row>
    <row r="26" spans="1:4" x14ac:dyDescent="0.25">
      <c r="A26">
        <v>8.65</v>
      </c>
      <c r="B26">
        <f t="shared" si="0"/>
        <v>0.86499999999999999</v>
      </c>
      <c r="C26">
        <v>0.55220000000000002</v>
      </c>
      <c r="D26">
        <f t="shared" si="1"/>
        <v>0.92560000000000087</v>
      </c>
    </row>
    <row r="27" spans="1:4" x14ac:dyDescent="0.25">
      <c r="A27">
        <v>8.9</v>
      </c>
      <c r="B27">
        <f t="shared" si="0"/>
        <v>0.89</v>
      </c>
      <c r="C27">
        <v>0.53008999999999995</v>
      </c>
      <c r="D27">
        <f t="shared" si="1"/>
        <v>0.88440000000000218</v>
      </c>
    </row>
    <row r="28" spans="1:4" x14ac:dyDescent="0.25">
      <c r="A28">
        <v>9.15</v>
      </c>
      <c r="B28">
        <f t="shared" si="0"/>
        <v>0.91500000000000004</v>
      </c>
      <c r="C28">
        <v>0.50912999999999997</v>
      </c>
      <c r="D28">
        <f t="shared" si="1"/>
        <v>0.83839999999999837</v>
      </c>
    </row>
    <row r="29" spans="1:4" x14ac:dyDescent="0.25">
      <c r="A29">
        <v>9.4</v>
      </c>
      <c r="B29">
        <f t="shared" si="0"/>
        <v>0.94000000000000006</v>
      </c>
      <c r="C29">
        <v>0.48691000000000001</v>
      </c>
      <c r="D29">
        <f t="shared" si="1"/>
        <v>0.8887999999999977</v>
      </c>
    </row>
    <row r="30" spans="1:4" x14ac:dyDescent="0.25">
      <c r="A30">
        <v>9.65</v>
      </c>
      <c r="B30">
        <f t="shared" si="0"/>
        <v>0.96500000000000008</v>
      </c>
      <c r="C30">
        <v>0.46562999999999999</v>
      </c>
      <c r="D30">
        <f t="shared" si="1"/>
        <v>0.85120000000000007</v>
      </c>
    </row>
    <row r="31" spans="1:4" x14ac:dyDescent="0.25">
      <c r="A31">
        <v>9.9</v>
      </c>
      <c r="B31">
        <f t="shared" si="0"/>
        <v>0.99</v>
      </c>
      <c r="C31">
        <v>0.44438</v>
      </c>
      <c r="D31">
        <f t="shared" si="1"/>
        <v>0.85000000000000264</v>
      </c>
    </row>
    <row r="32" spans="1:4" x14ac:dyDescent="0.25">
      <c r="A32">
        <v>10.15</v>
      </c>
      <c r="B32">
        <f t="shared" si="0"/>
        <v>1.0150000000000001</v>
      </c>
      <c r="C32">
        <v>0.42377999999999999</v>
      </c>
      <c r="D32">
        <f t="shared" si="1"/>
        <v>0.82399999999999585</v>
      </c>
    </row>
    <row r="33" spans="1:4" x14ac:dyDescent="0.25">
      <c r="A33">
        <v>10.4</v>
      </c>
      <c r="B33">
        <f t="shared" si="0"/>
        <v>1.04</v>
      </c>
      <c r="C33">
        <v>0.40337000000000001</v>
      </c>
      <c r="D33">
        <f t="shared" si="1"/>
        <v>0.81640000000000224</v>
      </c>
    </row>
    <row r="34" spans="1:4" x14ac:dyDescent="0.25">
      <c r="A34">
        <v>10.65</v>
      </c>
      <c r="B34">
        <f t="shared" si="0"/>
        <v>1.0649999999999999</v>
      </c>
      <c r="C34">
        <v>0.38228000000000001</v>
      </c>
      <c r="D34">
        <f t="shared" si="1"/>
        <v>0.8436000000000029</v>
      </c>
    </row>
    <row r="35" spans="1:4" x14ac:dyDescent="0.25">
      <c r="A35">
        <v>10.9</v>
      </c>
      <c r="B35">
        <f t="shared" si="0"/>
        <v>1.0900000000000001</v>
      </c>
      <c r="C35">
        <v>0.36359999999999998</v>
      </c>
      <c r="D35">
        <f t="shared" si="1"/>
        <v>0.7471999999999972</v>
      </c>
    </row>
    <row r="36" spans="1:4" x14ac:dyDescent="0.25">
      <c r="A36">
        <v>11.15</v>
      </c>
      <c r="B36">
        <f t="shared" si="0"/>
        <v>1.115</v>
      </c>
      <c r="C36">
        <v>0.34447</v>
      </c>
      <c r="D36">
        <f t="shared" si="1"/>
        <v>0.76520000000000188</v>
      </c>
    </row>
    <row r="37" spans="1:4" x14ac:dyDescent="0.25">
      <c r="A37">
        <v>11.4</v>
      </c>
      <c r="B37">
        <f t="shared" si="0"/>
        <v>1.1400000000000001</v>
      </c>
      <c r="C37">
        <v>0.32571</v>
      </c>
      <c r="D37">
        <f t="shared" si="1"/>
        <v>0.75039999999999596</v>
      </c>
    </row>
    <row r="38" spans="1:4" x14ac:dyDescent="0.25">
      <c r="A38">
        <v>11.65</v>
      </c>
      <c r="B38">
        <f t="shared" si="0"/>
        <v>1.165</v>
      </c>
      <c r="C38">
        <v>0.30769999999999997</v>
      </c>
      <c r="D38">
        <f t="shared" si="1"/>
        <v>0.72040000000000359</v>
      </c>
    </row>
    <row r="39" spans="1:4" x14ac:dyDescent="0.25">
      <c r="A39">
        <v>11.9</v>
      </c>
      <c r="B39">
        <f t="shared" si="0"/>
        <v>1.19</v>
      </c>
      <c r="C39">
        <v>0.29013</v>
      </c>
      <c r="D39">
        <f t="shared" si="1"/>
        <v>0.70280000000000142</v>
      </c>
    </row>
    <row r="40" spans="1:4" x14ac:dyDescent="0.25">
      <c r="A40">
        <v>12.15</v>
      </c>
      <c r="B40">
        <f t="shared" si="0"/>
        <v>1.2150000000000001</v>
      </c>
      <c r="C40">
        <v>0.27145999999999998</v>
      </c>
      <c r="D40">
        <f t="shared" si="1"/>
        <v>0.7467999999999968</v>
      </c>
    </row>
    <row r="41" spans="1:4" x14ac:dyDescent="0.25">
      <c r="A41">
        <v>12.4</v>
      </c>
      <c r="B41">
        <f t="shared" si="0"/>
        <v>1.24</v>
      </c>
      <c r="C41">
        <v>0.25273000000000001</v>
      </c>
      <c r="D41">
        <f t="shared" si="1"/>
        <v>0.74920000000000142</v>
      </c>
    </row>
    <row r="42" spans="1:4" x14ac:dyDescent="0.25">
      <c r="A42">
        <v>12.65</v>
      </c>
      <c r="B42">
        <f t="shared" si="0"/>
        <v>1.2650000000000001</v>
      </c>
      <c r="C42">
        <v>0.23733000000000001</v>
      </c>
      <c r="D42">
        <f t="shared" si="1"/>
        <v>0.61599999999999655</v>
      </c>
    </row>
    <row r="43" spans="1:4" x14ac:dyDescent="0.25">
      <c r="A43">
        <v>12.9</v>
      </c>
      <c r="B43">
        <f t="shared" si="0"/>
        <v>1.29</v>
      </c>
      <c r="C43">
        <v>0.22248999999999999</v>
      </c>
      <c r="D43">
        <f t="shared" si="1"/>
        <v>0.5936000000000029</v>
      </c>
    </row>
    <row r="44" spans="1:4" x14ac:dyDescent="0.25">
      <c r="A44">
        <v>13.15</v>
      </c>
      <c r="B44">
        <f t="shared" si="0"/>
        <v>1.3149999999999999</v>
      </c>
      <c r="C44">
        <v>0.20765</v>
      </c>
      <c r="D44">
        <f t="shared" si="1"/>
        <v>0.59360000000000179</v>
      </c>
    </row>
    <row r="45" spans="1:4" x14ac:dyDescent="0.25">
      <c r="A45">
        <v>13.4</v>
      </c>
      <c r="B45">
        <f t="shared" si="0"/>
        <v>1.34</v>
      </c>
      <c r="C45">
        <v>0.19286</v>
      </c>
      <c r="D45">
        <f t="shared" si="1"/>
        <v>0.5915999999999968</v>
      </c>
    </row>
    <row r="46" spans="1:4" x14ac:dyDescent="0.25">
      <c r="A46">
        <v>13.65</v>
      </c>
      <c r="B46">
        <f t="shared" si="0"/>
        <v>1.365</v>
      </c>
      <c r="C46">
        <v>0.17979999999999999</v>
      </c>
      <c r="D46">
        <f t="shared" si="1"/>
        <v>0.52240000000000253</v>
      </c>
    </row>
    <row r="47" spans="1:4" x14ac:dyDescent="0.25">
      <c r="A47">
        <v>13.9</v>
      </c>
      <c r="B47">
        <f t="shared" si="0"/>
        <v>1.3900000000000001</v>
      </c>
      <c r="C47">
        <v>0.16800000000000001</v>
      </c>
      <c r="D47">
        <f t="shared" si="1"/>
        <v>0.47199999999999659</v>
      </c>
    </row>
    <row r="48" spans="1:4" x14ac:dyDescent="0.25">
      <c r="A48">
        <v>14.15</v>
      </c>
      <c r="B48">
        <f t="shared" si="0"/>
        <v>1.415</v>
      </c>
      <c r="C48">
        <v>0.15620999999999999</v>
      </c>
      <c r="D48">
        <f t="shared" si="1"/>
        <v>0.47160000000000257</v>
      </c>
    </row>
    <row r="49" spans="1:4" x14ac:dyDescent="0.25">
      <c r="A49">
        <v>14.4</v>
      </c>
      <c r="B49">
        <f t="shared" si="0"/>
        <v>1.44</v>
      </c>
      <c r="C49">
        <v>0.14399999999999999</v>
      </c>
      <c r="D49">
        <f t="shared" si="1"/>
        <v>0.48840000000000167</v>
      </c>
    </row>
    <row r="50" spans="1:4" x14ac:dyDescent="0.25">
      <c r="A50">
        <v>14.65</v>
      </c>
      <c r="B50">
        <f t="shared" si="0"/>
        <v>1.4650000000000001</v>
      </c>
      <c r="C50">
        <v>0.13511999999999999</v>
      </c>
      <c r="D50">
        <f t="shared" si="1"/>
        <v>0.35519999999999807</v>
      </c>
    </row>
    <row r="51" spans="1:4" x14ac:dyDescent="0.25">
      <c r="A51">
        <v>14.9</v>
      </c>
      <c r="B51">
        <f t="shared" si="0"/>
        <v>1.49</v>
      </c>
      <c r="C51">
        <v>0.12418999999999999</v>
      </c>
      <c r="D51">
        <f t="shared" si="1"/>
        <v>0.43720000000000137</v>
      </c>
    </row>
    <row r="52" spans="1:4" x14ac:dyDescent="0.25">
      <c r="A52">
        <v>15.15</v>
      </c>
      <c r="B52">
        <f t="shared" si="0"/>
        <v>1.5150000000000001</v>
      </c>
      <c r="C52">
        <v>0.11550000000000001</v>
      </c>
      <c r="D52">
        <f t="shared" si="1"/>
        <v>0.34759999999999774</v>
      </c>
    </row>
    <row r="53" spans="1:4" x14ac:dyDescent="0.25">
      <c r="A53">
        <v>15.4</v>
      </c>
      <c r="B53">
        <f t="shared" si="0"/>
        <v>1.54</v>
      </c>
      <c r="C53">
        <v>0.10788</v>
      </c>
      <c r="D53">
        <f t="shared" si="1"/>
        <v>0.30480000000000118</v>
      </c>
    </row>
    <row r="54" spans="1:4" x14ac:dyDescent="0.25">
      <c r="A54">
        <v>15.65</v>
      </c>
      <c r="B54">
        <f t="shared" si="0"/>
        <v>1.5649999999999999</v>
      </c>
      <c r="C54">
        <v>9.9580000000000002E-2</v>
      </c>
      <c r="D54">
        <f t="shared" si="1"/>
        <v>0.33200000000000124</v>
      </c>
    </row>
    <row r="55" spans="1:4" x14ac:dyDescent="0.25">
      <c r="A55">
        <v>15.9</v>
      </c>
      <c r="B55">
        <f t="shared" si="0"/>
        <v>1.59</v>
      </c>
      <c r="C55">
        <v>9.0980000000000005E-2</v>
      </c>
      <c r="D55">
        <f t="shared" si="1"/>
        <v>0.34399999999999803</v>
      </c>
    </row>
    <row r="56" spans="1:4" x14ac:dyDescent="0.25">
      <c r="A56">
        <v>16.149999999999999</v>
      </c>
      <c r="B56">
        <f t="shared" si="0"/>
        <v>1.6149999999999998</v>
      </c>
      <c r="C56">
        <v>8.4669999999999995E-2</v>
      </c>
      <c r="D56">
        <f t="shared" si="1"/>
        <v>0.25240000000000357</v>
      </c>
    </row>
    <row r="57" spans="1:4" x14ac:dyDescent="0.25">
      <c r="A57">
        <v>16.399999999999999</v>
      </c>
      <c r="B57">
        <f t="shared" si="0"/>
        <v>1.64</v>
      </c>
      <c r="C57">
        <v>7.6259999999999994E-2</v>
      </c>
      <c r="D57">
        <f t="shared" si="1"/>
        <v>0.33639999999999826</v>
      </c>
    </row>
    <row r="58" spans="1:4" x14ac:dyDescent="0.25">
      <c r="A58">
        <v>16.649999999999999</v>
      </c>
      <c r="B58">
        <f t="shared" si="0"/>
        <v>1.6649999999999998</v>
      </c>
      <c r="C58">
        <v>6.7750000000000005E-2</v>
      </c>
      <c r="D58">
        <f t="shared" si="1"/>
        <v>0.34040000000000081</v>
      </c>
    </row>
    <row r="59" spans="1:4" x14ac:dyDescent="0.25">
      <c r="A59">
        <v>16.899999999999999</v>
      </c>
      <c r="B59">
        <f t="shared" si="0"/>
        <v>1.69</v>
      </c>
      <c r="C59">
        <v>6.021E-2</v>
      </c>
      <c r="D59">
        <f t="shared" si="1"/>
        <v>0.30159999999999859</v>
      </c>
    </row>
    <row r="60" spans="1:4" x14ac:dyDescent="0.25">
      <c r="A60">
        <v>17.149999999999999</v>
      </c>
      <c r="B60">
        <f t="shared" si="0"/>
        <v>1.7149999999999999</v>
      </c>
      <c r="C60">
        <v>5.4120000000000001E-2</v>
      </c>
      <c r="D60">
        <f t="shared" si="1"/>
        <v>0.24360000000000079</v>
      </c>
    </row>
    <row r="61" spans="1:4" x14ac:dyDescent="0.25">
      <c r="A61">
        <v>17.399999999999999</v>
      </c>
      <c r="B61">
        <f t="shared" si="0"/>
        <v>1.7399999999999998</v>
      </c>
      <c r="C61">
        <v>4.6339999999999999E-2</v>
      </c>
      <c r="D61">
        <f t="shared" si="1"/>
        <v>0.3112000000000012</v>
      </c>
    </row>
    <row r="62" spans="1:4" x14ac:dyDescent="0.25">
      <c r="A62">
        <v>17.649999999999999</v>
      </c>
      <c r="B62">
        <f t="shared" si="0"/>
        <v>1.7649999999999999</v>
      </c>
      <c r="C62">
        <v>3.9129999999999998E-2</v>
      </c>
      <c r="D62">
        <f t="shared" si="1"/>
        <v>0.28839999999999849</v>
      </c>
    </row>
    <row r="63" spans="1:4" x14ac:dyDescent="0.25">
      <c r="A63">
        <v>17.899999999999999</v>
      </c>
      <c r="B63">
        <f t="shared" si="0"/>
        <v>1.7899999999999998</v>
      </c>
      <c r="C63">
        <v>3.3599999999999998E-2</v>
      </c>
      <c r="D63">
        <f t="shared" si="1"/>
        <v>0.22120000000000078</v>
      </c>
    </row>
    <row r="64" spans="1:4" x14ac:dyDescent="0.25">
      <c r="A64">
        <v>18.149999999999999</v>
      </c>
      <c r="B64">
        <f t="shared" si="0"/>
        <v>1.8149999999999999</v>
      </c>
      <c r="C64">
        <v>2.6270000000000002E-2</v>
      </c>
      <c r="D64">
        <f t="shared" si="1"/>
        <v>0.2931999999999983</v>
      </c>
    </row>
    <row r="65" spans="1:4" x14ac:dyDescent="0.25">
      <c r="A65">
        <v>18.399999999999999</v>
      </c>
      <c r="B65">
        <f t="shared" si="0"/>
        <v>1.8399999999999999</v>
      </c>
      <c r="C65">
        <v>2.2790000000000001E-2</v>
      </c>
      <c r="D65">
        <f t="shared" si="1"/>
        <v>0.13920000000000052</v>
      </c>
    </row>
    <row r="66" spans="1:4" x14ac:dyDescent="0.25">
      <c r="A66">
        <v>18.649999999999999</v>
      </c>
      <c r="B66">
        <f t="shared" si="0"/>
        <v>1.8649999999999998</v>
      </c>
      <c r="C66">
        <v>1.753E-2</v>
      </c>
      <c r="D66">
        <f t="shared" si="1"/>
        <v>0.21040000000000078</v>
      </c>
    </row>
    <row r="67" spans="1:4" x14ac:dyDescent="0.25">
      <c r="A67">
        <v>18.899999999999999</v>
      </c>
      <c r="B67">
        <f t="shared" si="0"/>
        <v>1.89</v>
      </c>
      <c r="C67">
        <v>1.3129999999999999E-2</v>
      </c>
      <c r="D67">
        <f t="shared" si="1"/>
        <v>0.1759999999999991</v>
      </c>
    </row>
    <row r="68" spans="1:4" x14ac:dyDescent="0.25">
      <c r="A68">
        <v>19.149999999999999</v>
      </c>
      <c r="B68">
        <f t="shared" ref="B68:B76" si="2">A68/10</f>
        <v>1.9149999999999998</v>
      </c>
      <c r="C68">
        <v>8.6700000000000006E-3</v>
      </c>
      <c r="D68">
        <f t="shared" si="1"/>
        <v>0.17840000000000059</v>
      </c>
    </row>
    <row r="69" spans="1:4" x14ac:dyDescent="0.25">
      <c r="A69">
        <v>19.399999999999999</v>
      </c>
      <c r="B69">
        <f t="shared" si="2"/>
        <v>1.94</v>
      </c>
      <c r="C69">
        <v>5.2399999999999999E-3</v>
      </c>
      <c r="D69">
        <f t="shared" ref="D69:D76" si="3">(C68-C69)/(B69-B68)</f>
        <v>0.13719999999999929</v>
      </c>
    </row>
    <row r="70" spans="1:4" x14ac:dyDescent="0.25">
      <c r="A70">
        <v>19.649999999999999</v>
      </c>
      <c r="B70">
        <f t="shared" si="2"/>
        <v>1.9649999999999999</v>
      </c>
      <c r="C70">
        <v>4.2100000000000002E-3</v>
      </c>
      <c r="D70">
        <f t="shared" si="3"/>
        <v>4.1200000000000132E-2</v>
      </c>
    </row>
    <row r="71" spans="1:4" x14ac:dyDescent="0.25">
      <c r="A71">
        <v>19.899999999999999</v>
      </c>
      <c r="B71">
        <f t="shared" si="2"/>
        <v>1.9899999999999998</v>
      </c>
      <c r="C71">
        <v>2.8700000000000002E-3</v>
      </c>
      <c r="D71">
        <f t="shared" si="3"/>
        <v>5.3600000000000189E-2</v>
      </c>
    </row>
    <row r="72" spans="1:4" x14ac:dyDescent="0.25">
      <c r="A72">
        <v>20.149999999999999</v>
      </c>
      <c r="B72">
        <f t="shared" si="2"/>
        <v>2.0149999999999997</v>
      </c>
      <c r="C72">
        <v>1.6800000000000001E-3</v>
      </c>
      <c r="D72">
        <f t="shared" si="3"/>
        <v>4.760000000000017E-2</v>
      </c>
    </row>
    <row r="73" spans="1:4" x14ac:dyDescent="0.25">
      <c r="A73">
        <v>20.399999999999999</v>
      </c>
      <c r="B73">
        <f t="shared" si="2"/>
        <v>2.04</v>
      </c>
      <c r="C73">
        <v>1.2800000000000001E-3</v>
      </c>
      <c r="D73">
        <f t="shared" si="3"/>
        <v>1.5999999999999771E-2</v>
      </c>
    </row>
    <row r="74" spans="1:4" x14ac:dyDescent="0.25">
      <c r="A74">
        <v>20.65</v>
      </c>
      <c r="B74">
        <f t="shared" si="2"/>
        <v>2.0649999999999999</v>
      </c>
      <c r="C74">
        <v>6.4000000000000005E-4</v>
      </c>
      <c r="D74">
        <f t="shared" si="3"/>
        <v>2.5600000000000091E-2</v>
      </c>
    </row>
    <row r="75" spans="1:4" x14ac:dyDescent="0.25">
      <c r="A75">
        <v>20.9</v>
      </c>
      <c r="B75">
        <f t="shared" si="2"/>
        <v>2.09</v>
      </c>
      <c r="C75">
        <v>0</v>
      </c>
      <c r="D75">
        <f t="shared" si="3"/>
        <v>2.5600000000000091E-2</v>
      </c>
    </row>
    <row r="76" spans="1:4" x14ac:dyDescent="0.25">
      <c r="A76">
        <v>21.15</v>
      </c>
      <c r="B76">
        <f t="shared" si="2"/>
        <v>2.1149999999999998</v>
      </c>
      <c r="C76">
        <v>0</v>
      </c>
      <c r="D76">
        <f t="shared" si="3"/>
        <v>0</v>
      </c>
    </row>
  </sheetData>
  <mergeCells count="2">
    <mergeCell ref="A1:D1"/>
    <mergeCell ref="F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C4A9-8D03-4CBD-A5B9-38F5F0AC113D}">
  <dimension ref="A1:S93"/>
  <sheetViews>
    <sheetView workbookViewId="0">
      <selection sqref="A1:S1"/>
    </sheetView>
  </sheetViews>
  <sheetFormatPr defaultRowHeight="15" x14ac:dyDescent="0.25"/>
  <cols>
    <col min="3" max="3" width="14.85546875" bestFit="1" customWidth="1"/>
    <col min="8" max="8" width="14.85546875" bestFit="1" customWidth="1"/>
    <col min="13" max="13" width="14.85546875" bestFit="1" customWidth="1"/>
    <col min="18" max="18" width="14.85546875" bestFit="1" customWidth="1"/>
  </cols>
  <sheetData>
    <row r="1" spans="1:19" x14ac:dyDescent="0.25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5" t="s">
        <v>6</v>
      </c>
      <c r="B2" s="5"/>
      <c r="C2" s="5"/>
      <c r="D2" s="5"/>
      <c r="F2" s="5" t="s">
        <v>7</v>
      </c>
      <c r="G2" s="5"/>
      <c r="H2" s="5"/>
      <c r="I2" s="5"/>
      <c r="K2" s="5" t="s">
        <v>8</v>
      </c>
      <c r="L2" s="5"/>
      <c r="M2" s="5"/>
      <c r="N2" s="5"/>
      <c r="P2" s="5" t="s">
        <v>9</v>
      </c>
      <c r="Q2" s="5"/>
      <c r="R2" s="5"/>
      <c r="S2" s="5"/>
    </row>
    <row r="3" spans="1:19" x14ac:dyDescent="0.25">
      <c r="A3" t="s">
        <v>3</v>
      </c>
      <c r="B3" t="s">
        <v>2</v>
      </c>
      <c r="C3" t="s">
        <v>0</v>
      </c>
      <c r="D3" t="s">
        <v>1</v>
      </c>
      <c r="F3" t="s">
        <v>3</v>
      </c>
      <c r="G3" t="s">
        <v>2</v>
      </c>
      <c r="H3" t="s">
        <v>0</v>
      </c>
      <c r="I3" t="s">
        <v>1</v>
      </c>
      <c r="K3" t="s">
        <v>3</v>
      </c>
      <c r="L3" t="s">
        <v>2</v>
      </c>
      <c r="M3" t="s">
        <v>0</v>
      </c>
      <c r="N3" t="s">
        <v>1</v>
      </c>
      <c r="P3" t="s">
        <v>3</v>
      </c>
      <c r="Q3" t="s">
        <v>2</v>
      </c>
      <c r="R3" t="s">
        <v>0</v>
      </c>
      <c r="S3" t="s">
        <v>1</v>
      </c>
    </row>
    <row r="4" spans="1:19" x14ac:dyDescent="0.25">
      <c r="A4">
        <v>0</v>
      </c>
      <c r="B4">
        <f>A4/10</f>
        <v>0</v>
      </c>
      <c r="C4">
        <v>1</v>
      </c>
      <c r="D4">
        <v>0</v>
      </c>
      <c r="F4">
        <v>0</v>
      </c>
      <c r="G4">
        <f>F4/10</f>
        <v>0</v>
      </c>
      <c r="H4">
        <v>1</v>
      </c>
      <c r="I4">
        <v>0</v>
      </c>
      <c r="K4">
        <v>0</v>
      </c>
      <c r="L4">
        <f>K4/10</f>
        <v>0</v>
      </c>
      <c r="M4">
        <v>1</v>
      </c>
      <c r="N4">
        <v>0</v>
      </c>
      <c r="P4">
        <v>0</v>
      </c>
      <c r="Q4">
        <f>P4/10</f>
        <v>0</v>
      </c>
      <c r="R4">
        <v>1</v>
      </c>
      <c r="S4">
        <v>0</v>
      </c>
    </row>
    <row r="5" spans="1:19" x14ac:dyDescent="0.25">
      <c r="A5">
        <v>3.15</v>
      </c>
      <c r="B5">
        <f t="shared" ref="B5:B68" si="0">A5/10</f>
        <v>0.315</v>
      </c>
      <c r="C5">
        <v>1</v>
      </c>
      <c r="D5">
        <f>(C4-C5)/(B5-B4)</f>
        <v>0</v>
      </c>
      <c r="F5">
        <v>3.15</v>
      </c>
      <c r="G5">
        <f t="shared" ref="G5:G68" si="1">F5/10</f>
        <v>0.315</v>
      </c>
      <c r="H5">
        <v>1</v>
      </c>
      <c r="I5">
        <f>(H4-H5)/(G5-G4)</f>
        <v>0</v>
      </c>
      <c r="K5">
        <v>3.15</v>
      </c>
      <c r="L5">
        <f t="shared" ref="L5:L68" si="2">K5/10</f>
        <v>0.315</v>
      </c>
      <c r="M5">
        <v>1</v>
      </c>
      <c r="N5">
        <f>(M4-M5)/(L5-L4)</f>
        <v>0</v>
      </c>
      <c r="P5">
        <v>3.15</v>
      </c>
      <c r="Q5">
        <f t="shared" ref="Q5:Q68" si="3">P5/10</f>
        <v>0.315</v>
      </c>
      <c r="R5">
        <v>1</v>
      </c>
      <c r="S5">
        <f>(R4-R5)/(Q5-Q4)</f>
        <v>0</v>
      </c>
    </row>
    <row r="6" spans="1:19" x14ac:dyDescent="0.25">
      <c r="A6">
        <v>3.4</v>
      </c>
      <c r="B6">
        <f t="shared" si="0"/>
        <v>0.33999999999999997</v>
      </c>
      <c r="C6">
        <v>0.99458999999999997</v>
      </c>
      <c r="D6">
        <f t="shared" ref="D6:D69" si="4">(C5-C6)/(B6-B5)</f>
        <v>0.21640000000000131</v>
      </c>
      <c r="F6">
        <v>3.4</v>
      </c>
      <c r="G6">
        <f t="shared" si="1"/>
        <v>0.33999999999999997</v>
      </c>
      <c r="H6">
        <v>0.99724999999999997</v>
      </c>
      <c r="I6">
        <f t="shared" ref="I6:I69" si="5">(H5-H6)/(G6-G5)</f>
        <v>0.11000000000000136</v>
      </c>
      <c r="K6">
        <v>3.4</v>
      </c>
      <c r="L6">
        <f t="shared" si="2"/>
        <v>0.33999999999999997</v>
      </c>
      <c r="M6">
        <v>0.99673999999999996</v>
      </c>
      <c r="N6">
        <f t="shared" ref="N6:N69" si="6">(M5-M6)/(L6-L5)</f>
        <v>0.13040000000000179</v>
      </c>
      <c r="P6">
        <v>3.4</v>
      </c>
      <c r="Q6">
        <f t="shared" si="3"/>
        <v>0.33999999999999997</v>
      </c>
      <c r="R6">
        <v>0.99758000000000002</v>
      </c>
      <c r="S6">
        <f t="shared" ref="S6:S69" si="7">(R5-R6)/(Q6-Q5)</f>
        <v>9.6799999999999234E-2</v>
      </c>
    </row>
    <row r="7" spans="1:19" x14ac:dyDescent="0.25">
      <c r="A7">
        <v>3.65</v>
      </c>
      <c r="B7">
        <f t="shared" si="0"/>
        <v>0.36499999999999999</v>
      </c>
      <c r="C7">
        <v>0.97867999999999999</v>
      </c>
      <c r="D7">
        <f t="shared" si="4"/>
        <v>0.63639999999999863</v>
      </c>
      <c r="F7">
        <v>3.65</v>
      </c>
      <c r="G7">
        <f t="shared" si="1"/>
        <v>0.36499999999999999</v>
      </c>
      <c r="H7">
        <v>0.98980999999999997</v>
      </c>
      <c r="I7">
        <f t="shared" si="5"/>
        <v>0.29759999999999981</v>
      </c>
      <c r="K7">
        <v>3.65</v>
      </c>
      <c r="L7">
        <f t="shared" si="2"/>
        <v>0.36499999999999999</v>
      </c>
      <c r="M7">
        <v>0.98777000000000004</v>
      </c>
      <c r="N7">
        <f t="shared" si="6"/>
        <v>0.35879999999999657</v>
      </c>
      <c r="P7">
        <v>3.65</v>
      </c>
      <c r="Q7">
        <f t="shared" si="3"/>
        <v>0.36499999999999999</v>
      </c>
      <c r="R7">
        <v>0.99141999999999997</v>
      </c>
      <c r="S7">
        <f t="shared" si="7"/>
        <v>0.24640000000000195</v>
      </c>
    </row>
    <row r="8" spans="1:19" x14ac:dyDescent="0.25">
      <c r="A8">
        <v>3.9</v>
      </c>
      <c r="B8">
        <f t="shared" si="0"/>
        <v>0.39</v>
      </c>
      <c r="C8">
        <v>0.96057000000000003</v>
      </c>
      <c r="D8">
        <f t="shared" si="4"/>
        <v>0.72439999999999771</v>
      </c>
      <c r="F8">
        <v>3.9</v>
      </c>
      <c r="G8">
        <f t="shared" si="1"/>
        <v>0.39</v>
      </c>
      <c r="H8">
        <v>0.98197999999999996</v>
      </c>
      <c r="I8">
        <f t="shared" si="5"/>
        <v>0.31319999999999987</v>
      </c>
      <c r="K8">
        <v>3.9</v>
      </c>
      <c r="L8">
        <f t="shared" si="2"/>
        <v>0.39</v>
      </c>
      <c r="M8">
        <v>0.97801000000000005</v>
      </c>
      <c r="N8">
        <f t="shared" si="6"/>
        <v>0.3903999999999993</v>
      </c>
      <c r="P8">
        <v>3.9</v>
      </c>
      <c r="Q8">
        <f t="shared" si="3"/>
        <v>0.39</v>
      </c>
      <c r="R8">
        <v>0.98495999999999995</v>
      </c>
      <c r="S8">
        <f t="shared" si="7"/>
        <v>0.25840000000000063</v>
      </c>
    </row>
    <row r="9" spans="1:19" x14ac:dyDescent="0.25">
      <c r="A9">
        <v>4.1500000000000004</v>
      </c>
      <c r="B9">
        <f t="shared" si="0"/>
        <v>0.41500000000000004</v>
      </c>
      <c r="C9">
        <v>0.94106999999999996</v>
      </c>
      <c r="D9">
        <f t="shared" si="4"/>
        <v>0.78000000000000225</v>
      </c>
      <c r="F9">
        <v>4.1500000000000004</v>
      </c>
      <c r="G9">
        <f t="shared" si="1"/>
        <v>0.41500000000000004</v>
      </c>
      <c r="H9">
        <v>0.97380999999999995</v>
      </c>
      <c r="I9">
        <f t="shared" si="5"/>
        <v>0.32680000000000015</v>
      </c>
      <c r="K9">
        <v>4.1500000000000004</v>
      </c>
      <c r="L9">
        <f t="shared" si="2"/>
        <v>0.41500000000000004</v>
      </c>
      <c r="M9">
        <v>0.96804999999999997</v>
      </c>
      <c r="N9">
        <f t="shared" si="6"/>
        <v>0.39840000000000286</v>
      </c>
      <c r="P9">
        <v>4.1500000000000004</v>
      </c>
      <c r="Q9">
        <f t="shared" si="3"/>
        <v>0.41500000000000004</v>
      </c>
      <c r="R9">
        <v>0.97865000000000002</v>
      </c>
      <c r="S9">
        <f t="shared" si="7"/>
        <v>0.25239999999999685</v>
      </c>
    </row>
    <row r="10" spans="1:19" x14ac:dyDescent="0.25">
      <c r="A10">
        <v>4.4000000000000004</v>
      </c>
      <c r="B10">
        <f t="shared" si="0"/>
        <v>0.44000000000000006</v>
      </c>
      <c r="C10">
        <v>0.92081000000000002</v>
      </c>
      <c r="D10">
        <f t="shared" si="4"/>
        <v>0.81039999999999712</v>
      </c>
      <c r="F10">
        <v>4.4000000000000004</v>
      </c>
      <c r="G10">
        <f t="shared" si="1"/>
        <v>0.44000000000000006</v>
      </c>
      <c r="H10">
        <v>0.96552000000000004</v>
      </c>
      <c r="I10">
        <f t="shared" si="5"/>
        <v>0.33159999999999606</v>
      </c>
      <c r="K10">
        <v>4.4000000000000004</v>
      </c>
      <c r="L10">
        <f t="shared" si="2"/>
        <v>0.44000000000000006</v>
      </c>
      <c r="M10">
        <v>0.95818999999999999</v>
      </c>
      <c r="N10">
        <f t="shared" si="6"/>
        <v>0.39439999999999886</v>
      </c>
      <c r="P10">
        <v>4.4000000000000004</v>
      </c>
      <c r="Q10">
        <f t="shared" si="3"/>
        <v>0.44000000000000006</v>
      </c>
      <c r="R10">
        <v>0.97233999999999998</v>
      </c>
      <c r="S10">
        <f t="shared" si="7"/>
        <v>0.25240000000000129</v>
      </c>
    </row>
    <row r="11" spans="1:19" x14ac:dyDescent="0.25">
      <c r="A11">
        <v>4.6500000000000004</v>
      </c>
      <c r="B11">
        <f t="shared" si="0"/>
        <v>0.46500000000000002</v>
      </c>
      <c r="C11">
        <v>0.90036000000000005</v>
      </c>
      <c r="D11">
        <f t="shared" si="4"/>
        <v>0.81799999999999984</v>
      </c>
      <c r="F11">
        <v>4.6500000000000004</v>
      </c>
      <c r="G11">
        <f t="shared" si="1"/>
        <v>0.46500000000000002</v>
      </c>
      <c r="H11">
        <v>0.95672999999999997</v>
      </c>
      <c r="I11">
        <f t="shared" si="5"/>
        <v>0.35160000000000347</v>
      </c>
      <c r="K11">
        <v>4.6500000000000004</v>
      </c>
      <c r="L11">
        <f t="shared" si="2"/>
        <v>0.46500000000000002</v>
      </c>
      <c r="M11">
        <v>0.94891000000000003</v>
      </c>
      <c r="N11">
        <f t="shared" si="6"/>
        <v>0.3711999999999987</v>
      </c>
      <c r="P11">
        <v>4.6500000000000004</v>
      </c>
      <c r="Q11">
        <f t="shared" si="3"/>
        <v>0.46500000000000002</v>
      </c>
      <c r="R11">
        <v>0.96601999999999999</v>
      </c>
      <c r="S11">
        <f t="shared" si="7"/>
        <v>0.25280000000000002</v>
      </c>
    </row>
    <row r="12" spans="1:19" x14ac:dyDescent="0.25">
      <c r="A12">
        <v>4.9000000000000004</v>
      </c>
      <c r="B12">
        <f t="shared" si="0"/>
        <v>0.49000000000000005</v>
      </c>
      <c r="C12">
        <v>0.87960000000000005</v>
      </c>
      <c r="D12">
        <f t="shared" si="4"/>
        <v>0.83039999999999925</v>
      </c>
      <c r="F12">
        <v>4.9000000000000004</v>
      </c>
      <c r="G12">
        <f t="shared" si="1"/>
        <v>0.49000000000000005</v>
      </c>
      <c r="H12">
        <v>0.94755999999999996</v>
      </c>
      <c r="I12">
        <f t="shared" si="5"/>
        <v>0.36680000000000013</v>
      </c>
      <c r="K12">
        <v>4.9000000000000004</v>
      </c>
      <c r="L12">
        <f t="shared" si="2"/>
        <v>0.49000000000000005</v>
      </c>
      <c r="M12">
        <v>0.94008999999999998</v>
      </c>
      <c r="N12">
        <f t="shared" si="6"/>
        <v>0.35280000000000167</v>
      </c>
      <c r="P12">
        <v>4.9000000000000004</v>
      </c>
      <c r="Q12">
        <f t="shared" si="3"/>
        <v>0.49000000000000005</v>
      </c>
      <c r="R12">
        <v>0.95974000000000004</v>
      </c>
      <c r="S12">
        <f t="shared" si="7"/>
        <v>0.25119999999999787</v>
      </c>
    </row>
    <row r="13" spans="1:19" x14ac:dyDescent="0.25">
      <c r="A13">
        <v>5.15</v>
      </c>
      <c r="B13">
        <f t="shared" si="0"/>
        <v>0.51500000000000001</v>
      </c>
      <c r="C13">
        <v>0.85873999999999995</v>
      </c>
      <c r="D13">
        <f t="shared" si="4"/>
        <v>0.83440000000000514</v>
      </c>
      <c r="F13">
        <v>5.15</v>
      </c>
      <c r="G13">
        <f t="shared" si="1"/>
        <v>0.51500000000000001</v>
      </c>
      <c r="H13">
        <v>0.93813999999999997</v>
      </c>
      <c r="I13">
        <f t="shared" si="5"/>
        <v>0.37679999999999986</v>
      </c>
      <c r="K13">
        <v>5.15</v>
      </c>
      <c r="L13">
        <f t="shared" si="2"/>
        <v>0.51500000000000001</v>
      </c>
      <c r="M13">
        <v>0.93201999999999996</v>
      </c>
      <c r="N13">
        <f t="shared" si="6"/>
        <v>0.32280000000000131</v>
      </c>
      <c r="P13">
        <v>5.15</v>
      </c>
      <c r="Q13">
        <f t="shared" si="3"/>
        <v>0.51500000000000001</v>
      </c>
      <c r="R13">
        <v>0.95321</v>
      </c>
      <c r="S13">
        <f t="shared" si="7"/>
        <v>0.26120000000000176</v>
      </c>
    </row>
    <row r="14" spans="1:19" x14ac:dyDescent="0.25">
      <c r="A14">
        <v>5.4</v>
      </c>
      <c r="B14">
        <f t="shared" si="0"/>
        <v>0.54</v>
      </c>
      <c r="C14">
        <v>0.83789999999999998</v>
      </c>
      <c r="D14">
        <f t="shared" si="4"/>
        <v>0.83359999999999801</v>
      </c>
      <c r="F14">
        <v>5.4</v>
      </c>
      <c r="G14">
        <f t="shared" si="1"/>
        <v>0.54</v>
      </c>
      <c r="H14">
        <v>0.92849999999999999</v>
      </c>
      <c r="I14">
        <f t="shared" si="5"/>
        <v>0.38559999999999894</v>
      </c>
      <c r="K14">
        <v>5.4</v>
      </c>
      <c r="L14">
        <f t="shared" si="2"/>
        <v>0.54</v>
      </c>
      <c r="M14">
        <v>0.92401</v>
      </c>
      <c r="N14">
        <f t="shared" si="6"/>
        <v>0.32039999999999819</v>
      </c>
      <c r="P14">
        <v>5.4</v>
      </c>
      <c r="Q14">
        <f t="shared" si="3"/>
        <v>0.54</v>
      </c>
      <c r="R14">
        <v>0.94677999999999995</v>
      </c>
      <c r="S14">
        <f t="shared" si="7"/>
        <v>0.25720000000000165</v>
      </c>
    </row>
    <row r="15" spans="1:19" x14ac:dyDescent="0.25">
      <c r="A15">
        <v>5.65</v>
      </c>
      <c r="B15">
        <f t="shared" si="0"/>
        <v>0.56500000000000006</v>
      </c>
      <c r="C15">
        <v>0.81620000000000004</v>
      </c>
      <c r="D15">
        <f t="shared" si="4"/>
        <v>0.86799999999999689</v>
      </c>
      <c r="F15">
        <v>5.65</v>
      </c>
      <c r="G15">
        <f t="shared" si="1"/>
        <v>0.56500000000000006</v>
      </c>
      <c r="H15">
        <v>0.91832000000000003</v>
      </c>
      <c r="I15">
        <f t="shared" si="5"/>
        <v>0.40719999999999829</v>
      </c>
      <c r="K15">
        <v>5.65</v>
      </c>
      <c r="L15">
        <f t="shared" si="2"/>
        <v>0.56500000000000006</v>
      </c>
      <c r="M15">
        <v>0.91642000000000001</v>
      </c>
      <c r="N15">
        <f t="shared" si="6"/>
        <v>0.30359999999999915</v>
      </c>
      <c r="P15">
        <v>5.65</v>
      </c>
      <c r="Q15">
        <f t="shared" si="3"/>
        <v>0.56500000000000006</v>
      </c>
      <c r="R15">
        <v>0.94042999999999999</v>
      </c>
      <c r="S15">
        <f t="shared" si="7"/>
        <v>0.25399999999999845</v>
      </c>
    </row>
    <row r="16" spans="1:19" x14ac:dyDescent="0.25">
      <c r="A16">
        <v>5.9</v>
      </c>
      <c r="B16">
        <f t="shared" si="0"/>
        <v>0.59000000000000008</v>
      </c>
      <c r="C16">
        <v>0.79430999999999996</v>
      </c>
      <c r="D16">
        <f t="shared" si="4"/>
        <v>0.87560000000000227</v>
      </c>
      <c r="F16">
        <v>5.9</v>
      </c>
      <c r="G16">
        <f t="shared" si="1"/>
        <v>0.59000000000000008</v>
      </c>
      <c r="H16">
        <v>0.90791999999999995</v>
      </c>
      <c r="I16">
        <f t="shared" si="5"/>
        <v>0.41600000000000265</v>
      </c>
      <c r="K16">
        <v>5.9</v>
      </c>
      <c r="L16">
        <f t="shared" si="2"/>
        <v>0.59000000000000008</v>
      </c>
      <c r="M16">
        <v>0.90908999999999995</v>
      </c>
      <c r="N16">
        <f t="shared" si="6"/>
        <v>0.29320000000000207</v>
      </c>
      <c r="P16">
        <v>5.9</v>
      </c>
      <c r="Q16">
        <f t="shared" si="3"/>
        <v>0.59000000000000008</v>
      </c>
      <c r="R16">
        <v>0.93396999999999997</v>
      </c>
      <c r="S16">
        <f t="shared" si="7"/>
        <v>0.25840000000000063</v>
      </c>
    </row>
    <row r="17" spans="1:19" x14ac:dyDescent="0.25">
      <c r="A17">
        <v>6.15</v>
      </c>
      <c r="B17">
        <f t="shared" si="0"/>
        <v>0.61499999999999999</v>
      </c>
      <c r="C17">
        <v>0.77329000000000003</v>
      </c>
      <c r="D17">
        <f t="shared" si="4"/>
        <v>0.8408000000000001</v>
      </c>
      <c r="F17">
        <v>6.15</v>
      </c>
      <c r="G17">
        <f t="shared" si="1"/>
        <v>0.61499999999999999</v>
      </c>
      <c r="H17">
        <v>0.89686999999999995</v>
      </c>
      <c r="I17">
        <f t="shared" si="5"/>
        <v>0.44200000000000172</v>
      </c>
      <c r="K17">
        <v>6.15</v>
      </c>
      <c r="L17">
        <f t="shared" si="2"/>
        <v>0.61499999999999999</v>
      </c>
      <c r="M17">
        <v>0.90193000000000001</v>
      </c>
      <c r="N17">
        <f t="shared" si="6"/>
        <v>0.28639999999999877</v>
      </c>
      <c r="P17">
        <v>6.15</v>
      </c>
      <c r="Q17">
        <f t="shared" si="3"/>
        <v>0.61499999999999999</v>
      </c>
      <c r="R17">
        <v>0.92739000000000005</v>
      </c>
      <c r="S17">
        <f t="shared" si="7"/>
        <v>0.26319999999999771</v>
      </c>
    </row>
    <row r="18" spans="1:19" x14ac:dyDescent="0.25">
      <c r="A18">
        <v>6.4</v>
      </c>
      <c r="B18">
        <f t="shared" si="0"/>
        <v>0.64</v>
      </c>
      <c r="C18">
        <v>0.75244999999999995</v>
      </c>
      <c r="D18">
        <f t="shared" si="4"/>
        <v>0.83360000000000245</v>
      </c>
      <c r="F18">
        <v>6.4</v>
      </c>
      <c r="G18">
        <f t="shared" si="1"/>
        <v>0.64</v>
      </c>
      <c r="H18">
        <v>0.88527999999999996</v>
      </c>
      <c r="I18">
        <f t="shared" si="5"/>
        <v>0.46359999999999918</v>
      </c>
      <c r="K18">
        <v>6.4</v>
      </c>
      <c r="L18">
        <f t="shared" si="2"/>
        <v>0.64</v>
      </c>
      <c r="M18">
        <v>0.89488999999999996</v>
      </c>
      <c r="N18">
        <f t="shared" si="6"/>
        <v>0.28160000000000157</v>
      </c>
      <c r="P18">
        <v>6.4</v>
      </c>
      <c r="Q18">
        <f t="shared" si="3"/>
        <v>0.64</v>
      </c>
      <c r="R18">
        <v>0.92090000000000005</v>
      </c>
      <c r="S18">
        <f t="shared" si="7"/>
        <v>0.25959999999999961</v>
      </c>
    </row>
    <row r="19" spans="1:19" x14ac:dyDescent="0.25">
      <c r="A19">
        <v>6.65</v>
      </c>
      <c r="B19">
        <f t="shared" si="0"/>
        <v>0.66500000000000004</v>
      </c>
      <c r="C19">
        <v>0.73068</v>
      </c>
      <c r="D19">
        <f t="shared" si="4"/>
        <v>0.87079999999999746</v>
      </c>
      <c r="F19">
        <v>6.65</v>
      </c>
      <c r="G19">
        <f t="shared" si="1"/>
        <v>0.66500000000000004</v>
      </c>
      <c r="H19">
        <v>0.87346000000000001</v>
      </c>
      <c r="I19">
        <f t="shared" si="5"/>
        <v>0.47279999999999722</v>
      </c>
      <c r="K19">
        <v>6.65</v>
      </c>
      <c r="L19">
        <f t="shared" si="2"/>
        <v>0.66500000000000004</v>
      </c>
      <c r="M19">
        <v>0.88788999999999996</v>
      </c>
      <c r="N19">
        <f t="shared" si="6"/>
        <v>0.28000000000000003</v>
      </c>
      <c r="P19">
        <v>6.65</v>
      </c>
      <c r="Q19">
        <f t="shared" si="3"/>
        <v>0.66500000000000004</v>
      </c>
      <c r="R19">
        <v>0.91434000000000004</v>
      </c>
      <c r="S19">
        <f t="shared" si="7"/>
        <v>0.26240000000000019</v>
      </c>
    </row>
    <row r="20" spans="1:19" x14ac:dyDescent="0.25">
      <c r="A20">
        <v>6.9</v>
      </c>
      <c r="B20">
        <f t="shared" si="0"/>
        <v>0.69000000000000006</v>
      </c>
      <c r="C20">
        <v>0.70828000000000002</v>
      </c>
      <c r="D20">
        <f t="shared" si="4"/>
        <v>0.89599999999999824</v>
      </c>
      <c r="F20">
        <v>6.9</v>
      </c>
      <c r="G20">
        <f t="shared" si="1"/>
        <v>0.69000000000000006</v>
      </c>
      <c r="H20">
        <v>0.86073</v>
      </c>
      <c r="I20">
        <f t="shared" si="5"/>
        <v>0.50920000000000032</v>
      </c>
      <c r="K20">
        <v>6.9</v>
      </c>
      <c r="L20">
        <f t="shared" si="2"/>
        <v>0.69000000000000006</v>
      </c>
      <c r="M20">
        <v>0.88092000000000004</v>
      </c>
      <c r="N20">
        <f t="shared" si="6"/>
        <v>0.27879999999999661</v>
      </c>
      <c r="P20">
        <v>6.9</v>
      </c>
      <c r="Q20">
        <f t="shared" si="3"/>
        <v>0.69000000000000006</v>
      </c>
      <c r="R20">
        <v>0.90763000000000005</v>
      </c>
      <c r="S20">
        <f t="shared" si="7"/>
        <v>0.26839999999999953</v>
      </c>
    </row>
    <row r="21" spans="1:19" x14ac:dyDescent="0.25">
      <c r="A21">
        <v>7.15</v>
      </c>
      <c r="B21">
        <f t="shared" si="0"/>
        <v>0.71500000000000008</v>
      </c>
      <c r="C21">
        <v>0.68652999999999997</v>
      </c>
      <c r="D21">
        <f t="shared" si="4"/>
        <v>0.87000000000000111</v>
      </c>
      <c r="F21">
        <v>7.15</v>
      </c>
      <c r="G21">
        <f t="shared" si="1"/>
        <v>0.71500000000000008</v>
      </c>
      <c r="H21">
        <v>0.84821999999999997</v>
      </c>
      <c r="I21">
        <f t="shared" si="5"/>
        <v>0.5004000000000004</v>
      </c>
      <c r="K21">
        <v>7.15</v>
      </c>
      <c r="L21">
        <f t="shared" si="2"/>
        <v>0.71500000000000008</v>
      </c>
      <c r="M21">
        <v>0.87407999999999997</v>
      </c>
      <c r="N21">
        <f t="shared" si="6"/>
        <v>0.27360000000000251</v>
      </c>
      <c r="P21">
        <v>7.15</v>
      </c>
      <c r="Q21">
        <f t="shared" si="3"/>
        <v>0.71500000000000008</v>
      </c>
      <c r="R21">
        <v>0.90068000000000004</v>
      </c>
      <c r="S21">
        <f t="shared" si="7"/>
        <v>0.27800000000000025</v>
      </c>
    </row>
    <row r="22" spans="1:19" x14ac:dyDescent="0.25">
      <c r="A22">
        <v>7.4</v>
      </c>
      <c r="B22">
        <f t="shared" si="0"/>
        <v>0.74</v>
      </c>
      <c r="C22">
        <v>0.66439999999999999</v>
      </c>
      <c r="D22">
        <f t="shared" si="4"/>
        <v>0.88520000000000243</v>
      </c>
      <c r="F22">
        <v>7.4</v>
      </c>
      <c r="G22">
        <f t="shared" si="1"/>
        <v>0.74</v>
      </c>
      <c r="H22">
        <v>0.83499000000000001</v>
      </c>
      <c r="I22">
        <f t="shared" si="5"/>
        <v>0.52920000000000045</v>
      </c>
      <c r="K22">
        <v>7.4</v>
      </c>
      <c r="L22">
        <f t="shared" si="2"/>
        <v>0.74</v>
      </c>
      <c r="M22">
        <v>0.86719999999999997</v>
      </c>
      <c r="N22">
        <f t="shared" si="6"/>
        <v>0.27520000000000089</v>
      </c>
      <c r="P22">
        <v>7.4</v>
      </c>
      <c r="Q22">
        <f t="shared" si="3"/>
        <v>0.74</v>
      </c>
      <c r="R22">
        <v>0.89393</v>
      </c>
      <c r="S22">
        <f t="shared" si="7"/>
        <v>0.27000000000000229</v>
      </c>
    </row>
    <row r="23" spans="1:19" x14ac:dyDescent="0.25">
      <c r="A23">
        <v>7.65</v>
      </c>
      <c r="B23">
        <f t="shared" si="0"/>
        <v>0.76500000000000001</v>
      </c>
      <c r="C23">
        <v>0.64183999999999997</v>
      </c>
      <c r="D23">
        <f t="shared" si="4"/>
        <v>0.9024000000000002</v>
      </c>
      <c r="F23">
        <v>7.65</v>
      </c>
      <c r="G23">
        <f t="shared" si="1"/>
        <v>0.76500000000000001</v>
      </c>
      <c r="H23">
        <v>0.82167000000000001</v>
      </c>
      <c r="I23">
        <f t="shared" si="5"/>
        <v>0.5327999999999995</v>
      </c>
      <c r="K23">
        <v>7.65</v>
      </c>
      <c r="L23">
        <f t="shared" si="2"/>
        <v>0.76500000000000001</v>
      </c>
      <c r="M23">
        <v>0.86043000000000003</v>
      </c>
      <c r="N23">
        <f t="shared" si="6"/>
        <v>0.27079999999999749</v>
      </c>
      <c r="P23">
        <v>7.65</v>
      </c>
      <c r="Q23">
        <f t="shared" si="3"/>
        <v>0.76500000000000001</v>
      </c>
      <c r="R23">
        <v>0.88687000000000005</v>
      </c>
      <c r="S23">
        <f t="shared" si="7"/>
        <v>0.28239999999999793</v>
      </c>
    </row>
    <row r="24" spans="1:19" x14ac:dyDescent="0.25">
      <c r="A24">
        <v>7.9</v>
      </c>
      <c r="B24">
        <f t="shared" si="0"/>
        <v>0.79</v>
      </c>
      <c r="C24">
        <v>0.61999000000000004</v>
      </c>
      <c r="D24">
        <f t="shared" si="4"/>
        <v>0.87399999999999622</v>
      </c>
      <c r="F24">
        <v>7.9</v>
      </c>
      <c r="G24">
        <f t="shared" si="1"/>
        <v>0.79</v>
      </c>
      <c r="H24">
        <v>0.80754000000000004</v>
      </c>
      <c r="I24">
        <f t="shared" si="5"/>
        <v>0.56519999999999848</v>
      </c>
      <c r="K24">
        <v>7.9</v>
      </c>
      <c r="L24">
        <f t="shared" si="2"/>
        <v>0.79</v>
      </c>
      <c r="M24">
        <v>0.85346</v>
      </c>
      <c r="N24">
        <f t="shared" si="6"/>
        <v>0.27880000000000105</v>
      </c>
      <c r="P24">
        <v>7.9</v>
      </c>
      <c r="Q24">
        <f t="shared" si="3"/>
        <v>0.79</v>
      </c>
      <c r="R24">
        <v>0.87975000000000003</v>
      </c>
      <c r="S24">
        <f t="shared" si="7"/>
        <v>0.28480000000000033</v>
      </c>
    </row>
    <row r="25" spans="1:19" x14ac:dyDescent="0.25">
      <c r="A25">
        <v>8.15</v>
      </c>
      <c r="B25">
        <f t="shared" si="0"/>
        <v>0.81500000000000006</v>
      </c>
      <c r="C25">
        <v>0.59782999999999997</v>
      </c>
      <c r="D25">
        <f t="shared" si="4"/>
        <v>0.88640000000000196</v>
      </c>
      <c r="F25">
        <v>8.15</v>
      </c>
      <c r="G25">
        <f t="shared" si="1"/>
        <v>0.81500000000000006</v>
      </c>
      <c r="H25">
        <v>0.79366000000000003</v>
      </c>
      <c r="I25">
        <f t="shared" si="5"/>
        <v>0.55519999999999969</v>
      </c>
      <c r="K25">
        <v>8.15</v>
      </c>
      <c r="L25">
        <f t="shared" si="2"/>
        <v>0.81500000000000006</v>
      </c>
      <c r="M25">
        <v>0.84619</v>
      </c>
      <c r="N25">
        <f t="shared" si="6"/>
        <v>0.29079999999999967</v>
      </c>
      <c r="P25">
        <v>8.15</v>
      </c>
      <c r="Q25">
        <f t="shared" si="3"/>
        <v>0.81500000000000006</v>
      </c>
      <c r="R25">
        <v>0.87205999999999995</v>
      </c>
      <c r="S25">
        <f t="shared" si="7"/>
        <v>0.30760000000000315</v>
      </c>
    </row>
    <row r="26" spans="1:19" x14ac:dyDescent="0.25">
      <c r="A26">
        <v>8.4</v>
      </c>
      <c r="B26">
        <f t="shared" si="0"/>
        <v>0.84000000000000008</v>
      </c>
      <c r="C26">
        <v>0.57533999999999996</v>
      </c>
      <c r="D26">
        <f t="shared" si="4"/>
        <v>0.89959999999999962</v>
      </c>
      <c r="F26">
        <v>8.4</v>
      </c>
      <c r="G26">
        <f t="shared" si="1"/>
        <v>0.84000000000000008</v>
      </c>
      <c r="H26">
        <v>0.77917999999999998</v>
      </c>
      <c r="I26">
        <f t="shared" si="5"/>
        <v>0.57920000000000138</v>
      </c>
      <c r="K26">
        <v>8.4</v>
      </c>
      <c r="L26">
        <f t="shared" si="2"/>
        <v>0.84000000000000008</v>
      </c>
      <c r="M26">
        <v>0.83892999999999995</v>
      </c>
      <c r="N26">
        <f t="shared" si="6"/>
        <v>0.29040000000000149</v>
      </c>
      <c r="P26">
        <v>8.4</v>
      </c>
      <c r="Q26">
        <f t="shared" si="3"/>
        <v>0.84000000000000008</v>
      </c>
      <c r="R26">
        <v>0.86385000000000001</v>
      </c>
      <c r="S26">
        <f t="shared" si="7"/>
        <v>0.32839999999999731</v>
      </c>
    </row>
    <row r="27" spans="1:19" x14ac:dyDescent="0.25">
      <c r="A27">
        <v>8.65</v>
      </c>
      <c r="B27">
        <f t="shared" si="0"/>
        <v>0.86499999999999999</v>
      </c>
      <c r="C27">
        <v>0.55220000000000002</v>
      </c>
      <c r="D27">
        <f t="shared" si="4"/>
        <v>0.92560000000000087</v>
      </c>
      <c r="F27">
        <v>8.65</v>
      </c>
      <c r="G27">
        <f t="shared" si="1"/>
        <v>0.86499999999999999</v>
      </c>
      <c r="H27">
        <v>0.76439000000000001</v>
      </c>
      <c r="I27">
        <f t="shared" si="5"/>
        <v>0.5916000000000009</v>
      </c>
      <c r="K27">
        <v>8.65</v>
      </c>
      <c r="L27">
        <f t="shared" si="2"/>
        <v>0.86499999999999999</v>
      </c>
      <c r="M27">
        <v>0.83150000000000002</v>
      </c>
      <c r="N27">
        <f t="shared" si="6"/>
        <v>0.29719999999999852</v>
      </c>
      <c r="P27">
        <v>8.65</v>
      </c>
      <c r="Q27">
        <f t="shared" si="3"/>
        <v>0.86499999999999999</v>
      </c>
      <c r="R27">
        <v>0.85543000000000002</v>
      </c>
      <c r="S27">
        <f t="shared" si="7"/>
        <v>0.33680000000000054</v>
      </c>
    </row>
    <row r="28" spans="1:19" x14ac:dyDescent="0.25">
      <c r="A28">
        <v>8.9</v>
      </c>
      <c r="B28">
        <f t="shared" si="0"/>
        <v>0.89</v>
      </c>
      <c r="C28">
        <v>0.53008999999999995</v>
      </c>
      <c r="D28">
        <f t="shared" si="4"/>
        <v>0.88440000000000218</v>
      </c>
      <c r="F28">
        <v>8.9</v>
      </c>
      <c r="G28">
        <f t="shared" si="1"/>
        <v>0.89</v>
      </c>
      <c r="H28">
        <v>0.74860000000000004</v>
      </c>
      <c r="I28">
        <f t="shared" si="5"/>
        <v>0.63159999999999827</v>
      </c>
      <c r="K28">
        <v>8.9</v>
      </c>
      <c r="L28">
        <f t="shared" si="2"/>
        <v>0.89</v>
      </c>
      <c r="M28">
        <v>0.82352999999999998</v>
      </c>
      <c r="N28">
        <f t="shared" si="6"/>
        <v>0.31880000000000103</v>
      </c>
      <c r="P28">
        <v>8.9</v>
      </c>
      <c r="Q28">
        <f t="shared" si="3"/>
        <v>0.89</v>
      </c>
      <c r="R28">
        <v>0.84609000000000001</v>
      </c>
      <c r="S28">
        <f t="shared" si="7"/>
        <v>0.37360000000000027</v>
      </c>
    </row>
    <row r="29" spans="1:19" x14ac:dyDescent="0.25">
      <c r="A29">
        <v>9.15</v>
      </c>
      <c r="B29">
        <f t="shared" si="0"/>
        <v>0.91500000000000004</v>
      </c>
      <c r="C29">
        <v>0.50912999999999997</v>
      </c>
      <c r="D29">
        <f t="shared" si="4"/>
        <v>0.83839999999999837</v>
      </c>
      <c r="F29">
        <v>9.15</v>
      </c>
      <c r="G29">
        <f t="shared" si="1"/>
        <v>0.91500000000000004</v>
      </c>
      <c r="H29">
        <v>0.73319999999999996</v>
      </c>
      <c r="I29">
        <f t="shared" si="5"/>
        <v>0.61600000000000266</v>
      </c>
      <c r="K29">
        <v>9.15</v>
      </c>
      <c r="L29">
        <f t="shared" si="2"/>
        <v>0.91500000000000004</v>
      </c>
      <c r="M29">
        <v>0.81547000000000003</v>
      </c>
      <c r="N29">
        <f t="shared" si="6"/>
        <v>0.32239999999999797</v>
      </c>
      <c r="P29">
        <v>9.15</v>
      </c>
      <c r="Q29">
        <f t="shared" si="3"/>
        <v>0.91500000000000004</v>
      </c>
      <c r="R29">
        <v>0.83628000000000002</v>
      </c>
      <c r="S29">
        <f t="shared" si="7"/>
        <v>0.39239999999999908</v>
      </c>
    </row>
    <row r="30" spans="1:19" x14ac:dyDescent="0.25">
      <c r="A30">
        <v>9.4</v>
      </c>
      <c r="B30">
        <f t="shared" si="0"/>
        <v>0.94000000000000006</v>
      </c>
      <c r="C30">
        <v>0.48691000000000001</v>
      </c>
      <c r="D30">
        <f t="shared" si="4"/>
        <v>0.8887999999999977</v>
      </c>
      <c r="F30">
        <v>9.4</v>
      </c>
      <c r="G30">
        <f t="shared" si="1"/>
        <v>0.94000000000000006</v>
      </c>
      <c r="H30">
        <v>0.71694999999999998</v>
      </c>
      <c r="I30">
        <f t="shared" si="5"/>
        <v>0.64999999999999891</v>
      </c>
      <c r="K30">
        <v>9.4</v>
      </c>
      <c r="L30">
        <f t="shared" si="2"/>
        <v>0.94000000000000006</v>
      </c>
      <c r="M30">
        <v>0.80671999999999999</v>
      </c>
      <c r="N30">
        <f t="shared" si="6"/>
        <v>0.35000000000000109</v>
      </c>
      <c r="P30">
        <v>9.4</v>
      </c>
      <c r="Q30">
        <f t="shared" si="3"/>
        <v>0.94000000000000006</v>
      </c>
      <c r="R30">
        <v>0.82569999999999999</v>
      </c>
      <c r="S30">
        <f t="shared" si="7"/>
        <v>0.42320000000000096</v>
      </c>
    </row>
    <row r="31" spans="1:19" x14ac:dyDescent="0.25">
      <c r="A31">
        <v>9.65</v>
      </c>
      <c r="B31">
        <f t="shared" si="0"/>
        <v>0.96500000000000008</v>
      </c>
      <c r="C31">
        <v>0.46562999999999999</v>
      </c>
      <c r="D31">
        <f t="shared" si="4"/>
        <v>0.85120000000000007</v>
      </c>
      <c r="F31">
        <v>9.65</v>
      </c>
      <c r="G31">
        <f t="shared" si="1"/>
        <v>0.96500000000000008</v>
      </c>
      <c r="H31">
        <v>0.70042000000000004</v>
      </c>
      <c r="I31">
        <f t="shared" si="5"/>
        <v>0.66119999999999679</v>
      </c>
      <c r="K31">
        <v>9.65</v>
      </c>
      <c r="L31">
        <f t="shared" si="2"/>
        <v>0.96500000000000008</v>
      </c>
      <c r="M31">
        <v>0.79735</v>
      </c>
      <c r="N31">
        <f t="shared" si="6"/>
        <v>0.37479999999999924</v>
      </c>
      <c r="P31">
        <v>9.65</v>
      </c>
      <c r="Q31">
        <f t="shared" si="3"/>
        <v>0.96500000000000008</v>
      </c>
      <c r="R31">
        <v>0.81450999999999996</v>
      </c>
      <c r="S31">
        <f t="shared" si="7"/>
        <v>0.44760000000000094</v>
      </c>
    </row>
    <row r="32" spans="1:19" x14ac:dyDescent="0.25">
      <c r="A32">
        <v>9.9</v>
      </c>
      <c r="B32">
        <f t="shared" si="0"/>
        <v>0.99</v>
      </c>
      <c r="C32">
        <v>0.44438</v>
      </c>
      <c r="D32">
        <f t="shared" si="4"/>
        <v>0.85000000000000264</v>
      </c>
      <c r="F32">
        <v>9.9</v>
      </c>
      <c r="G32">
        <f t="shared" si="1"/>
        <v>0.99</v>
      </c>
      <c r="H32">
        <v>0.68344000000000005</v>
      </c>
      <c r="I32">
        <f t="shared" si="5"/>
        <v>0.67920000000000225</v>
      </c>
      <c r="K32">
        <v>9.9</v>
      </c>
      <c r="L32">
        <f t="shared" si="2"/>
        <v>0.99</v>
      </c>
      <c r="M32">
        <v>0.78761999999999999</v>
      </c>
      <c r="N32">
        <f t="shared" si="6"/>
        <v>0.38920000000000204</v>
      </c>
      <c r="P32">
        <v>9.9</v>
      </c>
      <c r="Q32">
        <f t="shared" si="3"/>
        <v>0.99</v>
      </c>
      <c r="R32">
        <v>0.80252000000000001</v>
      </c>
      <c r="S32">
        <f t="shared" si="7"/>
        <v>0.47959999999999953</v>
      </c>
    </row>
    <row r="33" spans="1:19" x14ac:dyDescent="0.25">
      <c r="A33">
        <v>10.15</v>
      </c>
      <c r="B33">
        <f t="shared" si="0"/>
        <v>1.0150000000000001</v>
      </c>
      <c r="C33">
        <v>0.42377999999999999</v>
      </c>
      <c r="D33">
        <f t="shared" si="4"/>
        <v>0.82399999999999585</v>
      </c>
      <c r="F33">
        <v>10.15</v>
      </c>
      <c r="G33">
        <f t="shared" si="1"/>
        <v>1.0150000000000001</v>
      </c>
      <c r="H33">
        <v>0.66635999999999995</v>
      </c>
      <c r="I33">
        <f t="shared" si="5"/>
        <v>0.68320000000000014</v>
      </c>
      <c r="K33">
        <v>10.15</v>
      </c>
      <c r="L33">
        <f t="shared" si="2"/>
        <v>1.0150000000000001</v>
      </c>
      <c r="M33">
        <v>0.77736000000000005</v>
      </c>
      <c r="N33">
        <f t="shared" si="6"/>
        <v>0.41039999999999527</v>
      </c>
      <c r="P33">
        <v>10.15</v>
      </c>
      <c r="Q33">
        <f t="shared" si="3"/>
        <v>1.0150000000000001</v>
      </c>
      <c r="R33">
        <v>0.78954999999999997</v>
      </c>
      <c r="S33">
        <f t="shared" si="7"/>
        <v>0.51879999999999871</v>
      </c>
    </row>
    <row r="34" spans="1:19" x14ac:dyDescent="0.25">
      <c r="A34">
        <v>10.4</v>
      </c>
      <c r="B34">
        <f t="shared" si="0"/>
        <v>1.04</v>
      </c>
      <c r="C34">
        <v>0.40337000000000001</v>
      </c>
      <c r="D34">
        <f t="shared" si="4"/>
        <v>0.81640000000000224</v>
      </c>
      <c r="F34">
        <v>10.4</v>
      </c>
      <c r="G34">
        <f t="shared" si="1"/>
        <v>1.04</v>
      </c>
      <c r="H34">
        <v>0.64846999999999999</v>
      </c>
      <c r="I34">
        <f t="shared" si="5"/>
        <v>0.71560000000000101</v>
      </c>
      <c r="K34">
        <v>10.4</v>
      </c>
      <c r="L34">
        <f t="shared" si="2"/>
        <v>1.04</v>
      </c>
      <c r="M34">
        <v>0.76642999999999994</v>
      </c>
      <c r="N34">
        <f t="shared" si="6"/>
        <v>0.43720000000000581</v>
      </c>
      <c r="P34">
        <v>10.4</v>
      </c>
      <c r="Q34">
        <f t="shared" si="3"/>
        <v>1.04</v>
      </c>
      <c r="R34">
        <v>0.77551000000000003</v>
      </c>
      <c r="S34">
        <f t="shared" si="7"/>
        <v>0.56159999999999966</v>
      </c>
    </row>
    <row r="35" spans="1:19" x14ac:dyDescent="0.25">
      <c r="A35">
        <v>10.65</v>
      </c>
      <c r="B35">
        <f t="shared" si="0"/>
        <v>1.0649999999999999</v>
      </c>
      <c r="C35">
        <v>0.38228000000000001</v>
      </c>
      <c r="D35">
        <f t="shared" si="4"/>
        <v>0.8436000000000029</v>
      </c>
      <c r="F35">
        <v>10.65</v>
      </c>
      <c r="G35">
        <f t="shared" si="1"/>
        <v>1.0649999999999999</v>
      </c>
      <c r="H35">
        <v>0.63080999999999998</v>
      </c>
      <c r="I35">
        <f t="shared" si="5"/>
        <v>0.70640000000000291</v>
      </c>
      <c r="K35">
        <v>10.65</v>
      </c>
      <c r="L35">
        <f t="shared" si="2"/>
        <v>1.0649999999999999</v>
      </c>
      <c r="M35">
        <v>0.75536999999999999</v>
      </c>
      <c r="N35">
        <f t="shared" si="6"/>
        <v>0.4423999999999999</v>
      </c>
      <c r="P35">
        <v>10.65</v>
      </c>
      <c r="Q35">
        <f t="shared" si="3"/>
        <v>1.0649999999999999</v>
      </c>
      <c r="R35">
        <v>0.76043000000000005</v>
      </c>
      <c r="S35">
        <f t="shared" si="7"/>
        <v>0.6032000000000014</v>
      </c>
    </row>
    <row r="36" spans="1:19" x14ac:dyDescent="0.25">
      <c r="A36">
        <v>10.9</v>
      </c>
      <c r="B36">
        <f t="shared" si="0"/>
        <v>1.0900000000000001</v>
      </c>
      <c r="C36">
        <v>0.36359999999999998</v>
      </c>
      <c r="D36">
        <f t="shared" si="4"/>
        <v>0.7471999999999972</v>
      </c>
      <c r="F36">
        <v>10.9</v>
      </c>
      <c r="G36">
        <f t="shared" si="1"/>
        <v>1.0900000000000001</v>
      </c>
      <c r="H36">
        <v>0.61336999999999997</v>
      </c>
      <c r="I36">
        <f t="shared" si="5"/>
        <v>0.69759999999999678</v>
      </c>
      <c r="K36">
        <v>10.9</v>
      </c>
      <c r="L36">
        <f t="shared" si="2"/>
        <v>1.0900000000000001</v>
      </c>
      <c r="M36">
        <v>0.74324999999999997</v>
      </c>
      <c r="N36">
        <f t="shared" si="6"/>
        <v>0.48479999999999818</v>
      </c>
      <c r="P36">
        <v>10.9</v>
      </c>
      <c r="Q36">
        <f t="shared" si="3"/>
        <v>1.0900000000000001</v>
      </c>
      <c r="R36">
        <v>0.74397000000000002</v>
      </c>
      <c r="S36">
        <f t="shared" si="7"/>
        <v>0.65839999999999765</v>
      </c>
    </row>
    <row r="37" spans="1:19" x14ac:dyDescent="0.25">
      <c r="A37">
        <v>11.15</v>
      </c>
      <c r="B37">
        <f t="shared" si="0"/>
        <v>1.115</v>
      </c>
      <c r="C37">
        <v>0.34447</v>
      </c>
      <c r="D37">
        <f t="shared" si="4"/>
        <v>0.76520000000000188</v>
      </c>
      <c r="F37">
        <v>11.15</v>
      </c>
      <c r="G37">
        <f t="shared" si="1"/>
        <v>1.115</v>
      </c>
      <c r="H37">
        <v>0.59584000000000004</v>
      </c>
      <c r="I37">
        <f t="shared" si="5"/>
        <v>0.70119999999999982</v>
      </c>
      <c r="K37">
        <v>11.15</v>
      </c>
      <c r="L37">
        <f t="shared" si="2"/>
        <v>1.115</v>
      </c>
      <c r="M37">
        <v>0.72968999999999995</v>
      </c>
      <c r="N37">
        <f t="shared" si="6"/>
        <v>0.54240000000000255</v>
      </c>
      <c r="P37">
        <v>11.15</v>
      </c>
      <c r="Q37">
        <f t="shared" si="3"/>
        <v>1.115</v>
      </c>
      <c r="R37">
        <v>0.72609000000000001</v>
      </c>
      <c r="S37">
        <f t="shared" si="7"/>
        <v>0.71520000000000283</v>
      </c>
    </row>
    <row r="38" spans="1:19" x14ac:dyDescent="0.25">
      <c r="A38">
        <v>11.4</v>
      </c>
      <c r="B38">
        <f t="shared" si="0"/>
        <v>1.1400000000000001</v>
      </c>
      <c r="C38">
        <v>0.32571</v>
      </c>
      <c r="D38">
        <f t="shared" si="4"/>
        <v>0.75039999999999596</v>
      </c>
      <c r="F38">
        <v>11.4</v>
      </c>
      <c r="G38">
        <f t="shared" si="1"/>
        <v>1.1400000000000001</v>
      </c>
      <c r="H38">
        <v>0.57698000000000005</v>
      </c>
      <c r="I38">
        <f t="shared" si="5"/>
        <v>0.75439999999999552</v>
      </c>
      <c r="K38">
        <v>11.4</v>
      </c>
      <c r="L38">
        <f t="shared" si="2"/>
        <v>1.1400000000000001</v>
      </c>
      <c r="M38">
        <v>0.71570999999999996</v>
      </c>
      <c r="N38">
        <f t="shared" si="6"/>
        <v>0.5591999999999967</v>
      </c>
      <c r="P38">
        <v>11.4</v>
      </c>
      <c r="Q38">
        <f t="shared" si="3"/>
        <v>1.1400000000000001</v>
      </c>
      <c r="R38">
        <v>0.70674000000000003</v>
      </c>
      <c r="S38">
        <f t="shared" si="7"/>
        <v>0.77399999999999503</v>
      </c>
    </row>
    <row r="39" spans="1:19" x14ac:dyDescent="0.25">
      <c r="A39">
        <v>11.65</v>
      </c>
      <c r="B39">
        <f t="shared" si="0"/>
        <v>1.165</v>
      </c>
      <c r="C39">
        <v>0.30769999999999997</v>
      </c>
      <c r="D39">
        <f t="shared" si="4"/>
        <v>0.72040000000000359</v>
      </c>
      <c r="F39">
        <v>11.65</v>
      </c>
      <c r="G39">
        <f t="shared" si="1"/>
        <v>1.165</v>
      </c>
      <c r="H39">
        <v>0.55818999999999996</v>
      </c>
      <c r="I39">
        <f t="shared" si="5"/>
        <v>0.75160000000000604</v>
      </c>
      <c r="K39">
        <v>11.65</v>
      </c>
      <c r="L39">
        <f t="shared" si="2"/>
        <v>1.165</v>
      </c>
      <c r="M39">
        <v>0.69998000000000005</v>
      </c>
      <c r="N39">
        <f t="shared" si="6"/>
        <v>0.62919999999999865</v>
      </c>
      <c r="P39">
        <v>11.65</v>
      </c>
      <c r="Q39">
        <f t="shared" si="3"/>
        <v>1.165</v>
      </c>
      <c r="R39">
        <v>0.68574000000000002</v>
      </c>
      <c r="S39">
        <f t="shared" si="7"/>
        <v>0.84000000000000374</v>
      </c>
    </row>
    <row r="40" spans="1:19" x14ac:dyDescent="0.25">
      <c r="A40">
        <v>11.9</v>
      </c>
      <c r="B40">
        <f t="shared" si="0"/>
        <v>1.19</v>
      </c>
      <c r="C40">
        <v>0.29013</v>
      </c>
      <c r="D40">
        <f t="shared" si="4"/>
        <v>0.70280000000000142</v>
      </c>
      <c r="F40">
        <v>11.9</v>
      </c>
      <c r="G40">
        <f t="shared" si="1"/>
        <v>1.19</v>
      </c>
      <c r="H40">
        <v>0.53908</v>
      </c>
      <c r="I40">
        <f t="shared" si="5"/>
        <v>0.76440000000000108</v>
      </c>
      <c r="K40">
        <v>11.9</v>
      </c>
      <c r="L40">
        <f t="shared" si="2"/>
        <v>1.19</v>
      </c>
      <c r="M40">
        <v>0.68328</v>
      </c>
      <c r="N40">
        <f t="shared" si="6"/>
        <v>0.66800000000000426</v>
      </c>
      <c r="P40">
        <v>11.9</v>
      </c>
      <c r="Q40">
        <f t="shared" si="3"/>
        <v>1.19</v>
      </c>
      <c r="R40">
        <v>0.66225000000000001</v>
      </c>
      <c r="S40">
        <f t="shared" si="7"/>
        <v>0.93960000000000377</v>
      </c>
    </row>
    <row r="41" spans="1:19" x14ac:dyDescent="0.25">
      <c r="A41">
        <v>12.15</v>
      </c>
      <c r="B41">
        <f t="shared" si="0"/>
        <v>1.2150000000000001</v>
      </c>
      <c r="C41">
        <v>0.27145999999999998</v>
      </c>
      <c r="D41">
        <f t="shared" si="4"/>
        <v>0.7467999999999968</v>
      </c>
      <c r="F41">
        <v>12.15</v>
      </c>
      <c r="G41">
        <f t="shared" si="1"/>
        <v>1.2150000000000001</v>
      </c>
      <c r="H41">
        <v>0.51973000000000003</v>
      </c>
      <c r="I41">
        <f t="shared" si="5"/>
        <v>0.77399999999999503</v>
      </c>
      <c r="K41">
        <v>12.15</v>
      </c>
      <c r="L41">
        <f t="shared" si="2"/>
        <v>1.2150000000000001</v>
      </c>
      <c r="M41">
        <v>0.66564000000000001</v>
      </c>
      <c r="N41">
        <f t="shared" si="6"/>
        <v>0.70559999999999579</v>
      </c>
      <c r="P41">
        <v>12.15</v>
      </c>
      <c r="Q41">
        <f t="shared" si="3"/>
        <v>1.2150000000000001</v>
      </c>
      <c r="R41">
        <v>0.63658000000000003</v>
      </c>
      <c r="S41">
        <f t="shared" si="7"/>
        <v>1.0267999999999933</v>
      </c>
    </row>
    <row r="42" spans="1:19" x14ac:dyDescent="0.25">
      <c r="A42">
        <v>12.4</v>
      </c>
      <c r="B42">
        <f t="shared" si="0"/>
        <v>1.24</v>
      </c>
      <c r="C42">
        <v>0.25273000000000001</v>
      </c>
      <c r="D42">
        <f t="shared" si="4"/>
        <v>0.74920000000000142</v>
      </c>
      <c r="F42">
        <v>12.4</v>
      </c>
      <c r="G42">
        <f t="shared" si="1"/>
        <v>1.24</v>
      </c>
      <c r="H42">
        <v>0.49990000000000001</v>
      </c>
      <c r="I42">
        <f t="shared" si="5"/>
        <v>0.79320000000000335</v>
      </c>
      <c r="K42">
        <v>12.4</v>
      </c>
      <c r="L42">
        <f t="shared" si="2"/>
        <v>1.24</v>
      </c>
      <c r="M42">
        <v>0.64573000000000003</v>
      </c>
      <c r="N42">
        <f t="shared" si="6"/>
        <v>0.79640000000000211</v>
      </c>
      <c r="P42">
        <v>12.4</v>
      </c>
      <c r="Q42">
        <f t="shared" si="3"/>
        <v>1.24</v>
      </c>
      <c r="R42">
        <v>0.60579000000000005</v>
      </c>
      <c r="S42">
        <f t="shared" si="7"/>
        <v>1.2316000000000038</v>
      </c>
    </row>
    <row r="43" spans="1:19" x14ac:dyDescent="0.25">
      <c r="A43">
        <v>12.65</v>
      </c>
      <c r="B43">
        <f t="shared" si="0"/>
        <v>1.2650000000000001</v>
      </c>
      <c r="C43">
        <v>0.23733000000000001</v>
      </c>
      <c r="D43">
        <f t="shared" si="4"/>
        <v>0.61599999999999655</v>
      </c>
      <c r="F43">
        <v>12.65</v>
      </c>
      <c r="G43">
        <f t="shared" si="1"/>
        <v>1.2650000000000001</v>
      </c>
      <c r="H43">
        <v>0.48020000000000002</v>
      </c>
      <c r="I43">
        <f t="shared" si="5"/>
        <v>0.78799999999999559</v>
      </c>
      <c r="K43">
        <v>12.65</v>
      </c>
      <c r="L43">
        <f t="shared" si="2"/>
        <v>1.2650000000000001</v>
      </c>
      <c r="M43">
        <v>0.62434000000000001</v>
      </c>
      <c r="N43">
        <f t="shared" si="6"/>
        <v>0.85559999999999625</v>
      </c>
      <c r="P43">
        <v>12.65</v>
      </c>
      <c r="Q43">
        <f t="shared" si="3"/>
        <v>1.2650000000000001</v>
      </c>
      <c r="R43">
        <v>0.57438999999999996</v>
      </c>
      <c r="S43">
        <f t="shared" si="7"/>
        <v>1.2559999999999971</v>
      </c>
    </row>
    <row r="44" spans="1:19" x14ac:dyDescent="0.25">
      <c r="A44">
        <v>12.9</v>
      </c>
      <c r="B44">
        <f t="shared" si="0"/>
        <v>1.29</v>
      </c>
      <c r="C44">
        <v>0.22248999999999999</v>
      </c>
      <c r="D44">
        <f t="shared" si="4"/>
        <v>0.5936000000000029</v>
      </c>
      <c r="F44">
        <v>12.9</v>
      </c>
      <c r="G44">
        <f t="shared" si="1"/>
        <v>1.29</v>
      </c>
      <c r="H44">
        <v>0.46022999999999997</v>
      </c>
      <c r="I44">
        <f t="shared" si="5"/>
        <v>0.79880000000000462</v>
      </c>
      <c r="K44">
        <v>12.9</v>
      </c>
      <c r="L44">
        <f t="shared" si="2"/>
        <v>1.29</v>
      </c>
      <c r="M44">
        <v>0.60114999999999996</v>
      </c>
      <c r="N44">
        <f t="shared" si="6"/>
        <v>0.92760000000000509</v>
      </c>
      <c r="P44">
        <v>12.9</v>
      </c>
      <c r="Q44">
        <f t="shared" si="3"/>
        <v>1.29</v>
      </c>
      <c r="R44">
        <v>0.54159000000000002</v>
      </c>
      <c r="S44">
        <f t="shared" si="7"/>
        <v>1.3120000000000023</v>
      </c>
    </row>
    <row r="45" spans="1:19" x14ac:dyDescent="0.25">
      <c r="A45">
        <v>13.15</v>
      </c>
      <c r="B45">
        <f t="shared" si="0"/>
        <v>1.3149999999999999</v>
      </c>
      <c r="C45">
        <v>0.20765</v>
      </c>
      <c r="D45">
        <f t="shared" si="4"/>
        <v>0.59360000000000179</v>
      </c>
      <c r="F45">
        <v>13.15</v>
      </c>
      <c r="G45">
        <f t="shared" si="1"/>
        <v>1.3149999999999999</v>
      </c>
      <c r="H45">
        <v>0.44157999999999997</v>
      </c>
      <c r="I45">
        <f t="shared" si="5"/>
        <v>0.74600000000000266</v>
      </c>
      <c r="K45">
        <v>13.15</v>
      </c>
      <c r="L45">
        <f t="shared" si="2"/>
        <v>1.3149999999999999</v>
      </c>
      <c r="M45">
        <v>0.57589000000000001</v>
      </c>
      <c r="N45">
        <f t="shared" si="6"/>
        <v>1.0104000000000015</v>
      </c>
      <c r="P45">
        <v>13.15</v>
      </c>
      <c r="Q45">
        <f t="shared" si="3"/>
        <v>1.3149999999999999</v>
      </c>
      <c r="R45">
        <v>0.50595999999999997</v>
      </c>
      <c r="S45">
        <f t="shared" si="7"/>
        <v>1.4252000000000071</v>
      </c>
    </row>
    <row r="46" spans="1:19" x14ac:dyDescent="0.25">
      <c r="A46">
        <v>13.4</v>
      </c>
      <c r="B46">
        <f t="shared" si="0"/>
        <v>1.34</v>
      </c>
      <c r="C46">
        <v>0.19286</v>
      </c>
      <c r="D46">
        <f t="shared" si="4"/>
        <v>0.5915999999999968</v>
      </c>
      <c r="F46">
        <v>13.4</v>
      </c>
      <c r="G46">
        <f t="shared" si="1"/>
        <v>1.34</v>
      </c>
      <c r="H46">
        <v>0.42349999999999999</v>
      </c>
      <c r="I46">
        <f t="shared" si="5"/>
        <v>0.72319999999999551</v>
      </c>
      <c r="K46">
        <v>13.4</v>
      </c>
      <c r="L46">
        <f t="shared" si="2"/>
        <v>1.34</v>
      </c>
      <c r="M46">
        <v>0.54888000000000003</v>
      </c>
      <c r="N46">
        <f t="shared" si="6"/>
        <v>1.0803999999999934</v>
      </c>
      <c r="P46">
        <v>13.4</v>
      </c>
      <c r="Q46">
        <f t="shared" si="3"/>
        <v>1.34</v>
      </c>
      <c r="R46">
        <v>0.47277999999999998</v>
      </c>
      <c r="S46">
        <f t="shared" si="7"/>
        <v>1.3271999999999924</v>
      </c>
    </row>
    <row r="47" spans="1:19" x14ac:dyDescent="0.25">
      <c r="A47">
        <v>13.65</v>
      </c>
      <c r="B47">
        <f t="shared" si="0"/>
        <v>1.365</v>
      </c>
      <c r="C47">
        <v>0.17979999999999999</v>
      </c>
      <c r="D47">
        <f t="shared" si="4"/>
        <v>0.52240000000000253</v>
      </c>
      <c r="F47">
        <v>13.65</v>
      </c>
      <c r="G47">
        <f t="shared" si="1"/>
        <v>1.365</v>
      </c>
      <c r="H47">
        <v>0.40409</v>
      </c>
      <c r="I47">
        <f t="shared" si="5"/>
        <v>0.77640000000000209</v>
      </c>
      <c r="K47">
        <v>13.65</v>
      </c>
      <c r="L47">
        <f t="shared" si="2"/>
        <v>1.365</v>
      </c>
      <c r="M47">
        <v>0.52034999999999998</v>
      </c>
      <c r="N47">
        <f t="shared" si="6"/>
        <v>1.1412000000000062</v>
      </c>
      <c r="P47">
        <v>13.65</v>
      </c>
      <c r="Q47">
        <f t="shared" si="3"/>
        <v>1.365</v>
      </c>
      <c r="R47">
        <v>0.43741999999999998</v>
      </c>
      <c r="S47">
        <f t="shared" si="7"/>
        <v>1.4144000000000052</v>
      </c>
    </row>
    <row r="48" spans="1:19" x14ac:dyDescent="0.25">
      <c r="A48">
        <v>13.9</v>
      </c>
      <c r="B48">
        <f t="shared" si="0"/>
        <v>1.3900000000000001</v>
      </c>
      <c r="C48">
        <v>0.16800000000000001</v>
      </c>
      <c r="D48">
        <f t="shared" si="4"/>
        <v>0.47199999999999659</v>
      </c>
      <c r="F48">
        <v>13.9</v>
      </c>
      <c r="G48">
        <f t="shared" si="1"/>
        <v>1.3900000000000001</v>
      </c>
      <c r="H48">
        <v>0.38466</v>
      </c>
      <c r="I48">
        <f t="shared" si="5"/>
        <v>0.77719999999999601</v>
      </c>
      <c r="K48">
        <v>13.9</v>
      </c>
      <c r="L48">
        <f t="shared" si="2"/>
        <v>1.3900000000000001</v>
      </c>
      <c r="M48">
        <v>0.49103999999999998</v>
      </c>
      <c r="N48">
        <f t="shared" si="6"/>
        <v>1.1723999999999939</v>
      </c>
      <c r="P48">
        <v>13.9</v>
      </c>
      <c r="Q48">
        <f t="shared" si="3"/>
        <v>1.3900000000000001</v>
      </c>
      <c r="R48">
        <v>0.40495999999999999</v>
      </c>
      <c r="S48">
        <f t="shared" si="7"/>
        <v>1.2983999999999927</v>
      </c>
    </row>
    <row r="49" spans="1:19" x14ac:dyDescent="0.25">
      <c r="A49">
        <v>14.15</v>
      </c>
      <c r="B49">
        <f t="shared" si="0"/>
        <v>1.415</v>
      </c>
      <c r="C49">
        <v>0.15620999999999999</v>
      </c>
      <c r="D49">
        <f t="shared" si="4"/>
        <v>0.47160000000000257</v>
      </c>
      <c r="F49">
        <v>14.15</v>
      </c>
      <c r="G49">
        <f t="shared" si="1"/>
        <v>1.415</v>
      </c>
      <c r="H49">
        <v>0.36603000000000002</v>
      </c>
      <c r="I49">
        <f t="shared" si="5"/>
        <v>0.74520000000000186</v>
      </c>
      <c r="K49">
        <v>14.15</v>
      </c>
      <c r="L49">
        <f t="shared" si="2"/>
        <v>1.415</v>
      </c>
      <c r="M49">
        <v>0.46172999999999997</v>
      </c>
      <c r="N49">
        <f t="shared" si="6"/>
        <v>1.1724000000000043</v>
      </c>
      <c r="P49">
        <v>14.15</v>
      </c>
      <c r="Q49">
        <f t="shared" si="3"/>
        <v>1.415</v>
      </c>
      <c r="R49">
        <v>0.37079000000000001</v>
      </c>
      <c r="S49">
        <f t="shared" si="7"/>
        <v>1.366800000000004</v>
      </c>
    </row>
    <row r="50" spans="1:19" x14ac:dyDescent="0.25">
      <c r="A50">
        <v>14.4</v>
      </c>
      <c r="B50">
        <f t="shared" si="0"/>
        <v>1.44</v>
      </c>
      <c r="C50">
        <v>0.14399999999999999</v>
      </c>
      <c r="D50">
        <f t="shared" si="4"/>
        <v>0.48840000000000167</v>
      </c>
      <c r="F50">
        <v>14.4</v>
      </c>
      <c r="G50">
        <f t="shared" si="1"/>
        <v>1.44</v>
      </c>
      <c r="H50">
        <v>0.34752</v>
      </c>
      <c r="I50">
        <f t="shared" si="5"/>
        <v>0.74040000000000372</v>
      </c>
      <c r="K50">
        <v>14.4</v>
      </c>
      <c r="L50">
        <f t="shared" si="2"/>
        <v>1.44</v>
      </c>
      <c r="M50">
        <v>0.43196000000000001</v>
      </c>
      <c r="N50">
        <f t="shared" si="6"/>
        <v>1.1908000000000027</v>
      </c>
      <c r="P50">
        <v>14.4</v>
      </c>
      <c r="Q50">
        <f t="shared" si="3"/>
        <v>1.44</v>
      </c>
      <c r="R50">
        <v>0.33976000000000001</v>
      </c>
      <c r="S50">
        <f t="shared" si="7"/>
        <v>1.2412000000000045</v>
      </c>
    </row>
    <row r="51" spans="1:19" x14ac:dyDescent="0.25">
      <c r="A51">
        <v>14.65</v>
      </c>
      <c r="B51">
        <f t="shared" si="0"/>
        <v>1.4650000000000001</v>
      </c>
      <c r="C51">
        <v>0.13511999999999999</v>
      </c>
      <c r="D51">
        <f t="shared" si="4"/>
        <v>0.35519999999999807</v>
      </c>
      <c r="F51">
        <v>14.65</v>
      </c>
      <c r="G51">
        <f t="shared" si="1"/>
        <v>1.4650000000000001</v>
      </c>
      <c r="H51">
        <v>0.33123999999999998</v>
      </c>
      <c r="I51">
        <f t="shared" si="5"/>
        <v>0.65119999999999723</v>
      </c>
      <c r="K51">
        <v>14.65</v>
      </c>
      <c r="L51">
        <f t="shared" si="2"/>
        <v>1.4650000000000001</v>
      </c>
      <c r="M51">
        <v>0.40051999999999999</v>
      </c>
      <c r="N51">
        <f t="shared" si="6"/>
        <v>1.2575999999999943</v>
      </c>
      <c r="P51">
        <v>14.65</v>
      </c>
      <c r="Q51">
        <f t="shared" si="3"/>
        <v>1.4650000000000001</v>
      </c>
      <c r="R51">
        <v>0.30959999999999999</v>
      </c>
      <c r="S51">
        <f t="shared" si="7"/>
        <v>1.2063999999999944</v>
      </c>
    </row>
    <row r="52" spans="1:19" x14ac:dyDescent="0.25">
      <c r="A52">
        <v>14.9</v>
      </c>
      <c r="B52">
        <f t="shared" si="0"/>
        <v>1.49</v>
      </c>
      <c r="C52">
        <v>0.12418999999999999</v>
      </c>
      <c r="D52">
        <f t="shared" si="4"/>
        <v>0.43720000000000137</v>
      </c>
      <c r="F52">
        <v>14.9</v>
      </c>
      <c r="G52">
        <f t="shared" si="1"/>
        <v>1.49</v>
      </c>
      <c r="H52">
        <v>0.31283</v>
      </c>
      <c r="I52">
        <f t="shared" si="5"/>
        <v>0.73640000000000194</v>
      </c>
      <c r="K52">
        <v>14.9</v>
      </c>
      <c r="L52">
        <f t="shared" si="2"/>
        <v>1.49</v>
      </c>
      <c r="M52">
        <v>0.36812</v>
      </c>
      <c r="N52">
        <f t="shared" si="6"/>
        <v>1.296000000000004</v>
      </c>
      <c r="P52">
        <v>14.9</v>
      </c>
      <c r="Q52">
        <f t="shared" si="3"/>
        <v>1.49</v>
      </c>
      <c r="R52">
        <v>0.2792</v>
      </c>
      <c r="S52">
        <f t="shared" si="7"/>
        <v>1.2160000000000035</v>
      </c>
    </row>
    <row r="53" spans="1:19" x14ac:dyDescent="0.25">
      <c r="A53">
        <v>15.15</v>
      </c>
      <c r="B53">
        <f t="shared" si="0"/>
        <v>1.5150000000000001</v>
      </c>
      <c r="C53">
        <v>0.11550000000000001</v>
      </c>
      <c r="D53">
        <f t="shared" si="4"/>
        <v>0.34759999999999774</v>
      </c>
      <c r="F53">
        <v>15.15</v>
      </c>
      <c r="G53">
        <f t="shared" si="1"/>
        <v>1.5150000000000001</v>
      </c>
      <c r="H53">
        <v>0.29737999999999998</v>
      </c>
      <c r="I53">
        <f t="shared" si="5"/>
        <v>0.61799999999999744</v>
      </c>
      <c r="K53">
        <v>15.15</v>
      </c>
      <c r="L53">
        <f t="shared" si="2"/>
        <v>1.5150000000000001</v>
      </c>
      <c r="M53">
        <v>0.33611999999999997</v>
      </c>
      <c r="N53">
        <f t="shared" si="6"/>
        <v>1.2799999999999943</v>
      </c>
      <c r="P53">
        <v>15.15</v>
      </c>
      <c r="Q53">
        <f t="shared" si="3"/>
        <v>1.5150000000000001</v>
      </c>
      <c r="R53">
        <v>0.25087999999999999</v>
      </c>
      <c r="S53">
        <f t="shared" si="7"/>
        <v>1.1327999999999945</v>
      </c>
    </row>
    <row r="54" spans="1:19" x14ac:dyDescent="0.25">
      <c r="A54">
        <v>15.4</v>
      </c>
      <c r="B54">
        <f t="shared" si="0"/>
        <v>1.54</v>
      </c>
      <c r="C54">
        <v>0.10788</v>
      </c>
      <c r="D54">
        <f t="shared" si="4"/>
        <v>0.30480000000000118</v>
      </c>
      <c r="F54">
        <v>15.4</v>
      </c>
      <c r="G54">
        <f t="shared" si="1"/>
        <v>1.54</v>
      </c>
      <c r="H54">
        <v>0.28165000000000001</v>
      </c>
      <c r="I54">
        <f t="shared" si="5"/>
        <v>0.62920000000000087</v>
      </c>
      <c r="K54">
        <v>15.4</v>
      </c>
      <c r="L54">
        <f t="shared" si="2"/>
        <v>1.54</v>
      </c>
      <c r="M54">
        <v>0.3014</v>
      </c>
      <c r="N54">
        <f t="shared" si="6"/>
        <v>1.3888000000000038</v>
      </c>
      <c r="P54">
        <v>15.4</v>
      </c>
      <c r="Q54">
        <f t="shared" si="3"/>
        <v>1.54</v>
      </c>
      <c r="R54">
        <v>0.22056000000000001</v>
      </c>
      <c r="S54">
        <f t="shared" si="7"/>
        <v>1.2128000000000037</v>
      </c>
    </row>
    <row r="55" spans="1:19" x14ac:dyDescent="0.25">
      <c r="A55">
        <v>15.65</v>
      </c>
      <c r="B55">
        <f t="shared" si="0"/>
        <v>1.5649999999999999</v>
      </c>
      <c r="C55">
        <v>9.9580000000000002E-2</v>
      </c>
      <c r="D55">
        <f t="shared" si="4"/>
        <v>0.33200000000000124</v>
      </c>
      <c r="F55">
        <v>15.65</v>
      </c>
      <c r="G55">
        <f t="shared" si="1"/>
        <v>1.5649999999999999</v>
      </c>
      <c r="H55">
        <v>0.26408999999999999</v>
      </c>
      <c r="I55">
        <f t="shared" si="5"/>
        <v>0.70240000000000324</v>
      </c>
      <c r="K55">
        <v>15.65</v>
      </c>
      <c r="L55">
        <f t="shared" si="2"/>
        <v>1.5649999999999999</v>
      </c>
      <c r="M55">
        <v>0.27016000000000001</v>
      </c>
      <c r="N55">
        <f t="shared" si="6"/>
        <v>1.249600000000004</v>
      </c>
      <c r="P55">
        <v>15.65</v>
      </c>
      <c r="Q55">
        <f t="shared" si="3"/>
        <v>1.5649999999999999</v>
      </c>
      <c r="R55">
        <v>0.19378999999999999</v>
      </c>
      <c r="S55">
        <f t="shared" si="7"/>
        <v>1.0708000000000044</v>
      </c>
    </row>
    <row r="56" spans="1:19" x14ac:dyDescent="0.25">
      <c r="A56">
        <v>15.9</v>
      </c>
      <c r="B56">
        <f t="shared" si="0"/>
        <v>1.59</v>
      </c>
      <c r="C56">
        <v>9.0980000000000005E-2</v>
      </c>
      <c r="D56">
        <f t="shared" si="4"/>
        <v>0.34399999999999803</v>
      </c>
      <c r="F56">
        <v>15.9</v>
      </c>
      <c r="G56">
        <f t="shared" si="1"/>
        <v>1.59</v>
      </c>
      <c r="H56">
        <v>0.24823000000000001</v>
      </c>
      <c r="I56">
        <f t="shared" si="5"/>
        <v>0.63439999999999608</v>
      </c>
      <c r="K56">
        <v>15.9</v>
      </c>
      <c r="L56">
        <f t="shared" si="2"/>
        <v>1.59</v>
      </c>
      <c r="M56">
        <v>0.24389</v>
      </c>
      <c r="N56">
        <f t="shared" si="6"/>
        <v>1.0507999999999951</v>
      </c>
      <c r="P56">
        <v>15.9</v>
      </c>
      <c r="Q56">
        <f t="shared" si="3"/>
        <v>1.59</v>
      </c>
      <c r="R56">
        <v>0.16903000000000001</v>
      </c>
      <c r="S56">
        <f t="shared" si="7"/>
        <v>0.99039999999999373</v>
      </c>
    </row>
    <row r="57" spans="1:19" x14ac:dyDescent="0.25">
      <c r="A57">
        <v>16.149999999999999</v>
      </c>
      <c r="B57">
        <f t="shared" si="0"/>
        <v>1.6149999999999998</v>
      </c>
      <c r="C57">
        <v>8.4669999999999995E-2</v>
      </c>
      <c r="D57">
        <f t="shared" si="4"/>
        <v>0.25240000000000357</v>
      </c>
      <c r="F57">
        <v>16.149999999999999</v>
      </c>
      <c r="G57">
        <f t="shared" si="1"/>
        <v>1.6149999999999998</v>
      </c>
      <c r="H57">
        <v>0.23266000000000001</v>
      </c>
      <c r="I57">
        <f t="shared" si="5"/>
        <v>0.62280000000000779</v>
      </c>
      <c r="K57">
        <v>16.149999999999999</v>
      </c>
      <c r="L57">
        <f t="shared" si="2"/>
        <v>1.6149999999999998</v>
      </c>
      <c r="M57">
        <v>0.21426999999999999</v>
      </c>
      <c r="N57">
        <f t="shared" si="6"/>
        <v>1.184800000000015</v>
      </c>
      <c r="P57">
        <v>16.149999999999999</v>
      </c>
      <c r="Q57">
        <f t="shared" si="3"/>
        <v>1.6149999999999998</v>
      </c>
      <c r="R57">
        <v>0.14773</v>
      </c>
      <c r="S57">
        <f t="shared" si="7"/>
        <v>0.85200000000001108</v>
      </c>
    </row>
    <row r="58" spans="1:19" x14ac:dyDescent="0.25">
      <c r="A58">
        <v>16.399999999999999</v>
      </c>
      <c r="B58">
        <f t="shared" si="0"/>
        <v>1.64</v>
      </c>
      <c r="C58">
        <v>7.6259999999999994E-2</v>
      </c>
      <c r="D58">
        <f t="shared" si="4"/>
        <v>0.33639999999999826</v>
      </c>
      <c r="F58">
        <v>16.399999999999999</v>
      </c>
      <c r="G58">
        <f t="shared" si="1"/>
        <v>1.64</v>
      </c>
      <c r="H58">
        <v>0.21826999999999999</v>
      </c>
      <c r="I58">
        <f t="shared" si="5"/>
        <v>0.57559999999999745</v>
      </c>
      <c r="K58">
        <v>16.399999999999999</v>
      </c>
      <c r="L58">
        <f t="shared" si="2"/>
        <v>1.64</v>
      </c>
      <c r="M58">
        <v>0.1857</v>
      </c>
      <c r="N58">
        <f t="shared" si="6"/>
        <v>1.1427999999999934</v>
      </c>
      <c r="P58">
        <v>16.399999999999999</v>
      </c>
      <c r="Q58">
        <f t="shared" si="3"/>
        <v>1.64</v>
      </c>
      <c r="R58">
        <v>0.12945999999999999</v>
      </c>
      <c r="S58">
        <f t="shared" si="7"/>
        <v>0.73079999999999645</v>
      </c>
    </row>
    <row r="59" spans="1:19" x14ac:dyDescent="0.25">
      <c r="A59">
        <v>16.649999999999999</v>
      </c>
      <c r="B59">
        <f t="shared" si="0"/>
        <v>1.6649999999999998</v>
      </c>
      <c r="C59">
        <v>6.7750000000000005E-2</v>
      </c>
      <c r="D59">
        <f t="shared" si="4"/>
        <v>0.34040000000000081</v>
      </c>
      <c r="F59">
        <v>16.649999999999999</v>
      </c>
      <c r="G59">
        <f t="shared" si="1"/>
        <v>1.6649999999999998</v>
      </c>
      <c r="H59">
        <v>0.20397000000000001</v>
      </c>
      <c r="I59">
        <f t="shared" si="5"/>
        <v>0.57200000000000117</v>
      </c>
      <c r="K59">
        <v>16.649999999999999</v>
      </c>
      <c r="L59">
        <f t="shared" si="2"/>
        <v>1.6649999999999998</v>
      </c>
      <c r="M59">
        <v>0.16014</v>
      </c>
      <c r="N59">
        <f t="shared" si="6"/>
        <v>1.0224000000000035</v>
      </c>
      <c r="P59">
        <v>16.649999999999999</v>
      </c>
      <c r="Q59">
        <f t="shared" si="3"/>
        <v>1.6649999999999998</v>
      </c>
      <c r="R59">
        <v>0.11123</v>
      </c>
      <c r="S59">
        <f t="shared" si="7"/>
        <v>0.7292000000000024</v>
      </c>
    </row>
    <row r="60" spans="1:19" x14ac:dyDescent="0.25">
      <c r="A60">
        <v>16.899999999999999</v>
      </c>
      <c r="B60">
        <f t="shared" si="0"/>
        <v>1.69</v>
      </c>
      <c r="C60">
        <v>6.021E-2</v>
      </c>
      <c r="D60">
        <f t="shared" si="4"/>
        <v>0.30159999999999859</v>
      </c>
      <c r="F60">
        <v>16.899999999999999</v>
      </c>
      <c r="G60">
        <f t="shared" si="1"/>
        <v>1.69</v>
      </c>
      <c r="H60">
        <v>0.19189999999999999</v>
      </c>
      <c r="I60">
        <f t="shared" si="5"/>
        <v>0.48279999999999845</v>
      </c>
      <c r="K60">
        <v>16.899999999999999</v>
      </c>
      <c r="L60">
        <f t="shared" si="2"/>
        <v>1.69</v>
      </c>
      <c r="M60">
        <v>0.14058000000000001</v>
      </c>
      <c r="N60">
        <f t="shared" si="6"/>
        <v>0.78239999999999554</v>
      </c>
      <c r="P60">
        <v>16.899999999999999</v>
      </c>
      <c r="Q60">
        <f t="shared" si="3"/>
        <v>1.69</v>
      </c>
      <c r="R60">
        <v>9.2450000000000004E-2</v>
      </c>
      <c r="S60">
        <f t="shared" si="7"/>
        <v>0.75119999999999565</v>
      </c>
    </row>
    <row r="61" spans="1:19" x14ac:dyDescent="0.25">
      <c r="A61">
        <v>17.149999999999999</v>
      </c>
      <c r="B61">
        <f t="shared" si="0"/>
        <v>1.7149999999999999</v>
      </c>
      <c r="C61">
        <v>5.4120000000000001E-2</v>
      </c>
      <c r="D61">
        <f t="shared" si="4"/>
        <v>0.24360000000000079</v>
      </c>
      <c r="F61">
        <v>17.149999999999999</v>
      </c>
      <c r="G61">
        <f t="shared" si="1"/>
        <v>1.7149999999999999</v>
      </c>
      <c r="H61">
        <v>0.17660000000000001</v>
      </c>
      <c r="I61">
        <f t="shared" si="5"/>
        <v>0.61200000000000143</v>
      </c>
      <c r="K61">
        <v>17.149999999999999</v>
      </c>
      <c r="L61">
        <f t="shared" si="2"/>
        <v>1.7149999999999999</v>
      </c>
      <c r="M61">
        <v>0.11982</v>
      </c>
      <c r="N61">
        <f t="shared" si="6"/>
        <v>0.83040000000000358</v>
      </c>
      <c r="P61">
        <v>17.149999999999999</v>
      </c>
      <c r="Q61">
        <f t="shared" si="3"/>
        <v>1.7149999999999999</v>
      </c>
      <c r="R61">
        <v>7.5429999999999997E-2</v>
      </c>
      <c r="S61">
        <f t="shared" si="7"/>
        <v>0.68080000000000274</v>
      </c>
    </row>
    <row r="62" spans="1:19" x14ac:dyDescent="0.25">
      <c r="A62">
        <v>17.399999999999999</v>
      </c>
      <c r="B62">
        <f t="shared" si="0"/>
        <v>1.7399999999999998</v>
      </c>
      <c r="C62">
        <v>4.6339999999999999E-2</v>
      </c>
      <c r="D62">
        <f t="shared" si="4"/>
        <v>0.3112000000000012</v>
      </c>
      <c r="F62">
        <v>17.399999999999999</v>
      </c>
      <c r="G62">
        <f t="shared" si="1"/>
        <v>1.7399999999999998</v>
      </c>
      <c r="H62">
        <v>0.16406999999999999</v>
      </c>
      <c r="I62">
        <f t="shared" si="5"/>
        <v>0.50120000000000231</v>
      </c>
      <c r="K62">
        <v>17.399999999999999</v>
      </c>
      <c r="L62">
        <f t="shared" si="2"/>
        <v>1.7399999999999998</v>
      </c>
      <c r="M62">
        <v>0.10002</v>
      </c>
      <c r="N62">
        <f t="shared" si="6"/>
        <v>0.7920000000000027</v>
      </c>
      <c r="P62">
        <v>17.399999999999999</v>
      </c>
      <c r="Q62">
        <f t="shared" si="3"/>
        <v>1.7399999999999998</v>
      </c>
      <c r="R62">
        <v>6.6129999999999994E-2</v>
      </c>
      <c r="S62">
        <f t="shared" si="7"/>
        <v>0.37200000000000144</v>
      </c>
    </row>
    <row r="63" spans="1:19" x14ac:dyDescent="0.25">
      <c r="A63">
        <v>17.649999999999999</v>
      </c>
      <c r="B63">
        <f t="shared" si="0"/>
        <v>1.7649999999999999</v>
      </c>
      <c r="C63">
        <v>3.9129999999999998E-2</v>
      </c>
      <c r="D63">
        <f t="shared" si="4"/>
        <v>0.28839999999999849</v>
      </c>
      <c r="F63">
        <v>17.649999999999999</v>
      </c>
      <c r="G63">
        <f t="shared" si="1"/>
        <v>1.7649999999999999</v>
      </c>
      <c r="H63">
        <v>0.15256</v>
      </c>
      <c r="I63">
        <f t="shared" si="5"/>
        <v>0.46039999999999726</v>
      </c>
      <c r="K63">
        <v>17.649999999999999</v>
      </c>
      <c r="L63">
        <f t="shared" si="2"/>
        <v>1.7649999999999999</v>
      </c>
      <c r="M63">
        <v>8.7340000000000001E-2</v>
      </c>
      <c r="N63">
        <f t="shared" si="6"/>
        <v>0.50719999999999721</v>
      </c>
      <c r="P63">
        <v>17.649999999999999</v>
      </c>
      <c r="Q63">
        <f t="shared" si="3"/>
        <v>1.7649999999999999</v>
      </c>
      <c r="R63">
        <v>5.6669999999999998E-2</v>
      </c>
      <c r="S63">
        <f t="shared" si="7"/>
        <v>0.37839999999999785</v>
      </c>
    </row>
    <row r="64" spans="1:19" x14ac:dyDescent="0.25">
      <c r="A64">
        <v>17.899999999999999</v>
      </c>
      <c r="B64">
        <f t="shared" si="0"/>
        <v>1.7899999999999998</v>
      </c>
      <c r="C64">
        <v>3.3599999999999998E-2</v>
      </c>
      <c r="D64">
        <f t="shared" si="4"/>
        <v>0.22120000000000078</v>
      </c>
      <c r="F64">
        <v>17.899999999999999</v>
      </c>
      <c r="G64">
        <f t="shared" si="1"/>
        <v>1.7899999999999998</v>
      </c>
      <c r="H64">
        <v>0.14388999999999999</v>
      </c>
      <c r="I64">
        <f t="shared" si="5"/>
        <v>0.34680000000000166</v>
      </c>
      <c r="K64">
        <v>17.899999999999999</v>
      </c>
      <c r="L64">
        <f t="shared" si="2"/>
        <v>1.7899999999999998</v>
      </c>
      <c r="M64">
        <v>7.3380000000000001E-2</v>
      </c>
      <c r="N64">
        <f t="shared" si="6"/>
        <v>0.55840000000000201</v>
      </c>
      <c r="P64">
        <v>17.899999999999999</v>
      </c>
      <c r="Q64">
        <f t="shared" si="3"/>
        <v>1.7899999999999998</v>
      </c>
      <c r="R64">
        <v>4.8849999999999998E-2</v>
      </c>
      <c r="S64">
        <f t="shared" si="7"/>
        <v>0.31280000000000113</v>
      </c>
    </row>
    <row r="65" spans="1:19" x14ac:dyDescent="0.25">
      <c r="A65">
        <v>18.149999999999999</v>
      </c>
      <c r="B65">
        <f t="shared" si="0"/>
        <v>1.8149999999999999</v>
      </c>
      <c r="C65">
        <v>2.6270000000000002E-2</v>
      </c>
      <c r="D65">
        <f t="shared" si="4"/>
        <v>0.2931999999999983</v>
      </c>
      <c r="F65">
        <v>18.149999999999999</v>
      </c>
      <c r="G65">
        <f t="shared" si="1"/>
        <v>1.8149999999999999</v>
      </c>
      <c r="H65">
        <v>0.13425999999999999</v>
      </c>
      <c r="I65">
        <f t="shared" si="5"/>
        <v>0.38519999999999793</v>
      </c>
      <c r="K65">
        <v>18.149999999999999</v>
      </c>
      <c r="L65">
        <f t="shared" si="2"/>
        <v>1.8149999999999999</v>
      </c>
      <c r="M65">
        <v>6.0010000000000001E-2</v>
      </c>
      <c r="N65">
        <f t="shared" si="6"/>
        <v>0.53479999999999717</v>
      </c>
      <c r="P65">
        <v>18.149999999999999</v>
      </c>
      <c r="Q65">
        <f t="shared" si="3"/>
        <v>1.8149999999999999</v>
      </c>
      <c r="R65">
        <v>4.4089999999999997E-2</v>
      </c>
      <c r="S65">
        <f t="shared" si="7"/>
        <v>0.19039999999999899</v>
      </c>
    </row>
    <row r="66" spans="1:19" x14ac:dyDescent="0.25">
      <c r="A66">
        <v>18.399999999999999</v>
      </c>
      <c r="B66">
        <f t="shared" si="0"/>
        <v>1.8399999999999999</v>
      </c>
      <c r="C66">
        <v>2.2790000000000001E-2</v>
      </c>
      <c r="D66">
        <f t="shared" si="4"/>
        <v>0.13920000000000052</v>
      </c>
      <c r="F66">
        <v>18.399999999999999</v>
      </c>
      <c r="G66">
        <f t="shared" si="1"/>
        <v>1.8399999999999999</v>
      </c>
      <c r="H66">
        <v>0.12446</v>
      </c>
      <c r="I66">
        <f t="shared" si="5"/>
        <v>0.39200000000000096</v>
      </c>
      <c r="K66">
        <v>18.399999999999999</v>
      </c>
      <c r="L66">
        <f t="shared" si="2"/>
        <v>1.8399999999999999</v>
      </c>
      <c r="M66">
        <v>5.2780000000000001E-2</v>
      </c>
      <c r="N66">
        <f t="shared" si="6"/>
        <v>0.28920000000000107</v>
      </c>
      <c r="P66">
        <v>18.399999999999999</v>
      </c>
      <c r="Q66">
        <f t="shared" si="3"/>
        <v>1.8399999999999999</v>
      </c>
      <c r="R66">
        <v>3.576E-2</v>
      </c>
      <c r="S66">
        <f t="shared" si="7"/>
        <v>0.33320000000000105</v>
      </c>
    </row>
    <row r="67" spans="1:19" x14ac:dyDescent="0.25">
      <c r="A67">
        <v>18.649999999999999</v>
      </c>
      <c r="B67">
        <f t="shared" si="0"/>
        <v>1.8649999999999998</v>
      </c>
      <c r="C67">
        <v>1.753E-2</v>
      </c>
      <c r="D67">
        <f t="shared" si="4"/>
        <v>0.21040000000000078</v>
      </c>
      <c r="F67">
        <v>18.649999999999999</v>
      </c>
      <c r="G67">
        <f t="shared" si="1"/>
        <v>1.8649999999999998</v>
      </c>
      <c r="H67">
        <v>0.11806</v>
      </c>
      <c r="I67">
        <f t="shared" si="5"/>
        <v>0.256000000000001</v>
      </c>
      <c r="K67">
        <v>18.649999999999999</v>
      </c>
      <c r="L67">
        <f t="shared" si="2"/>
        <v>1.8649999999999998</v>
      </c>
      <c r="M67">
        <v>4.2869999999999998E-2</v>
      </c>
      <c r="N67">
        <f t="shared" si="6"/>
        <v>0.39640000000000147</v>
      </c>
      <c r="P67">
        <v>18.649999999999999</v>
      </c>
      <c r="Q67">
        <f t="shared" si="3"/>
        <v>1.8649999999999998</v>
      </c>
      <c r="R67">
        <v>3.0620000000000001E-2</v>
      </c>
      <c r="S67">
        <f t="shared" si="7"/>
        <v>0.20560000000000067</v>
      </c>
    </row>
    <row r="68" spans="1:19" x14ac:dyDescent="0.25">
      <c r="A68">
        <v>18.899999999999999</v>
      </c>
      <c r="B68">
        <f t="shared" si="0"/>
        <v>1.89</v>
      </c>
      <c r="C68">
        <v>1.3129999999999999E-2</v>
      </c>
      <c r="D68">
        <f t="shared" si="4"/>
        <v>0.1759999999999991</v>
      </c>
      <c r="F68">
        <v>18.899999999999999</v>
      </c>
      <c r="G68">
        <f t="shared" si="1"/>
        <v>1.89</v>
      </c>
      <c r="H68">
        <v>0.10724</v>
      </c>
      <c r="I68">
        <f t="shared" si="5"/>
        <v>0.43279999999999752</v>
      </c>
      <c r="K68">
        <v>18.899999999999999</v>
      </c>
      <c r="L68">
        <f t="shared" si="2"/>
        <v>1.89</v>
      </c>
      <c r="M68">
        <v>3.6040000000000003E-2</v>
      </c>
      <c r="N68">
        <f t="shared" si="6"/>
        <v>0.27319999999999839</v>
      </c>
      <c r="P68">
        <v>18.899999999999999</v>
      </c>
      <c r="Q68">
        <f t="shared" si="3"/>
        <v>1.89</v>
      </c>
      <c r="R68">
        <v>2.5239999999999999E-2</v>
      </c>
      <c r="S68">
        <f t="shared" si="7"/>
        <v>0.21519999999999898</v>
      </c>
    </row>
    <row r="69" spans="1:19" x14ac:dyDescent="0.25">
      <c r="A69">
        <v>19.149999999999999</v>
      </c>
      <c r="B69">
        <f t="shared" ref="B69:B77" si="8">A69/10</f>
        <v>1.9149999999999998</v>
      </c>
      <c r="C69">
        <v>8.6700000000000006E-3</v>
      </c>
      <c r="D69">
        <f t="shared" si="4"/>
        <v>0.17840000000000059</v>
      </c>
      <c r="F69">
        <v>19.149999999999999</v>
      </c>
      <c r="G69">
        <f t="shared" ref="G69:G93" si="9">F69/10</f>
        <v>1.9149999999999998</v>
      </c>
      <c r="H69">
        <v>9.9239999999999995E-2</v>
      </c>
      <c r="I69">
        <f t="shared" si="5"/>
        <v>0.32000000000000139</v>
      </c>
      <c r="K69">
        <v>19.149999999999999</v>
      </c>
      <c r="L69">
        <f t="shared" ref="L69:L93" si="10">K69/10</f>
        <v>1.9149999999999998</v>
      </c>
      <c r="M69">
        <v>2.9839999999999998E-2</v>
      </c>
      <c r="N69">
        <f t="shared" si="6"/>
        <v>0.24800000000000105</v>
      </c>
      <c r="P69">
        <v>19.149999999999999</v>
      </c>
      <c r="Q69">
        <f t="shared" ref="Q69:Q93" si="11">P69/10</f>
        <v>1.9149999999999998</v>
      </c>
      <c r="R69">
        <v>1.9650000000000001E-2</v>
      </c>
      <c r="S69">
        <f t="shared" si="7"/>
        <v>0.22360000000000071</v>
      </c>
    </row>
    <row r="70" spans="1:19" x14ac:dyDescent="0.25">
      <c r="A70">
        <v>19.399999999999999</v>
      </c>
      <c r="B70">
        <f t="shared" si="8"/>
        <v>1.94</v>
      </c>
      <c r="C70">
        <v>5.2399999999999999E-3</v>
      </c>
      <c r="D70">
        <f t="shared" ref="D70:D77" si="12">(C69-C70)/(B70-B69)</f>
        <v>0.13719999999999929</v>
      </c>
      <c r="F70">
        <v>19.399999999999999</v>
      </c>
      <c r="G70">
        <f t="shared" si="9"/>
        <v>1.94</v>
      </c>
      <c r="H70">
        <v>9.3410000000000007E-2</v>
      </c>
      <c r="I70">
        <f t="shared" ref="I70:I93" si="13">(H69-H70)/(G70-G69)</f>
        <v>0.23319999999999827</v>
      </c>
      <c r="K70">
        <v>19.399999999999999</v>
      </c>
      <c r="L70">
        <f t="shared" si="10"/>
        <v>1.94</v>
      </c>
      <c r="M70">
        <v>2.4240000000000001E-2</v>
      </c>
      <c r="N70">
        <f t="shared" ref="N70:N93" si="14">(M69-M70)/(L70-L69)</f>
        <v>0.2239999999999987</v>
      </c>
      <c r="P70">
        <v>19.399999999999999</v>
      </c>
      <c r="Q70">
        <f t="shared" si="11"/>
        <v>1.94</v>
      </c>
      <c r="R70">
        <v>1.174E-2</v>
      </c>
      <c r="S70">
        <f t="shared" ref="S70:S93" si="15">(R69-R70)/(Q70-Q69)</f>
        <v>0.31639999999999835</v>
      </c>
    </row>
    <row r="71" spans="1:19" x14ac:dyDescent="0.25">
      <c r="A71">
        <v>19.649999999999999</v>
      </c>
      <c r="B71">
        <f t="shared" si="8"/>
        <v>1.9649999999999999</v>
      </c>
      <c r="C71">
        <v>4.2100000000000002E-3</v>
      </c>
      <c r="D71">
        <f t="shared" si="12"/>
        <v>4.1200000000000132E-2</v>
      </c>
      <c r="F71">
        <v>19.649999999999999</v>
      </c>
      <c r="G71">
        <f t="shared" si="9"/>
        <v>1.9649999999999999</v>
      </c>
      <c r="H71">
        <v>8.5739999999999997E-2</v>
      </c>
      <c r="I71">
        <f t="shared" si="13"/>
        <v>0.30680000000000152</v>
      </c>
      <c r="K71">
        <v>19.649999999999999</v>
      </c>
      <c r="L71">
        <f t="shared" si="10"/>
        <v>1.9649999999999999</v>
      </c>
      <c r="M71">
        <v>1.9130000000000001E-2</v>
      </c>
      <c r="N71">
        <f t="shared" si="14"/>
        <v>0.20440000000000072</v>
      </c>
      <c r="P71">
        <v>19.649999999999999</v>
      </c>
      <c r="Q71">
        <f t="shared" si="11"/>
        <v>1.9649999999999999</v>
      </c>
      <c r="R71">
        <v>8.0300000000000007E-3</v>
      </c>
      <c r="S71">
        <f t="shared" si="15"/>
        <v>0.1484000000000005</v>
      </c>
    </row>
    <row r="72" spans="1:19" x14ac:dyDescent="0.25">
      <c r="A72">
        <v>19.899999999999999</v>
      </c>
      <c r="B72">
        <f t="shared" si="8"/>
        <v>1.9899999999999998</v>
      </c>
      <c r="C72">
        <v>2.8700000000000002E-3</v>
      </c>
      <c r="D72">
        <f t="shared" si="12"/>
        <v>5.3600000000000189E-2</v>
      </c>
      <c r="F72">
        <v>19.899999999999999</v>
      </c>
      <c r="G72">
        <f t="shared" si="9"/>
        <v>1.9899999999999998</v>
      </c>
      <c r="H72">
        <v>7.8869999999999996E-2</v>
      </c>
      <c r="I72">
        <f t="shared" si="13"/>
        <v>0.27480000000000104</v>
      </c>
      <c r="K72">
        <v>19.899999999999999</v>
      </c>
      <c r="L72">
        <f t="shared" si="10"/>
        <v>1.9899999999999998</v>
      </c>
      <c r="M72">
        <v>1.3350000000000001E-2</v>
      </c>
      <c r="N72">
        <f t="shared" si="14"/>
        <v>0.23120000000000085</v>
      </c>
      <c r="P72">
        <v>19.899999999999999</v>
      </c>
      <c r="Q72">
        <f t="shared" si="11"/>
        <v>1.9899999999999998</v>
      </c>
      <c r="R72">
        <v>4.1399999999999996E-3</v>
      </c>
      <c r="S72">
        <f t="shared" si="15"/>
        <v>0.1556000000000006</v>
      </c>
    </row>
    <row r="73" spans="1:19" x14ac:dyDescent="0.25">
      <c r="A73">
        <v>20.149999999999999</v>
      </c>
      <c r="B73">
        <f t="shared" si="8"/>
        <v>2.0149999999999997</v>
      </c>
      <c r="C73">
        <v>1.6800000000000001E-3</v>
      </c>
      <c r="D73">
        <f t="shared" si="12"/>
        <v>4.760000000000017E-2</v>
      </c>
      <c r="F73">
        <v>20.149999999999999</v>
      </c>
      <c r="G73">
        <f t="shared" si="9"/>
        <v>2.0149999999999997</v>
      </c>
      <c r="H73">
        <v>7.0069999999999993E-2</v>
      </c>
      <c r="I73">
        <f t="shared" si="13"/>
        <v>0.35200000000000137</v>
      </c>
      <c r="K73">
        <v>20.149999999999999</v>
      </c>
      <c r="L73">
        <f t="shared" si="10"/>
        <v>2.0149999999999997</v>
      </c>
      <c r="M73">
        <v>9.6699999999999998E-3</v>
      </c>
      <c r="N73">
        <f t="shared" si="14"/>
        <v>0.14720000000000055</v>
      </c>
      <c r="P73">
        <v>20.149999999999999</v>
      </c>
      <c r="Q73">
        <f t="shared" si="11"/>
        <v>2.0149999999999997</v>
      </c>
      <c r="R73">
        <v>2.2100000000000002E-3</v>
      </c>
      <c r="S73">
        <f t="shared" si="15"/>
        <v>7.7200000000000255E-2</v>
      </c>
    </row>
    <row r="74" spans="1:19" x14ac:dyDescent="0.25">
      <c r="A74">
        <v>20.399999999999999</v>
      </c>
      <c r="B74">
        <f t="shared" si="8"/>
        <v>2.04</v>
      </c>
      <c r="C74">
        <v>1.2800000000000001E-3</v>
      </c>
      <c r="D74">
        <f t="shared" si="12"/>
        <v>1.5999999999999771E-2</v>
      </c>
      <c r="F74">
        <v>20.399999999999999</v>
      </c>
      <c r="G74">
        <f t="shared" si="9"/>
        <v>2.04</v>
      </c>
      <c r="H74">
        <v>6.1240000000000003E-2</v>
      </c>
      <c r="I74">
        <f t="shared" si="13"/>
        <v>0.35319999999999463</v>
      </c>
      <c r="K74">
        <v>20.399999999999999</v>
      </c>
      <c r="L74">
        <f t="shared" si="10"/>
        <v>2.04</v>
      </c>
      <c r="M74">
        <v>5.1900000000000002E-3</v>
      </c>
      <c r="N74">
        <f t="shared" si="14"/>
        <v>0.17919999999999744</v>
      </c>
      <c r="P74">
        <v>20.399999999999999</v>
      </c>
      <c r="Q74">
        <f t="shared" si="11"/>
        <v>2.04</v>
      </c>
      <c r="R74">
        <v>5.4000000000000001E-4</v>
      </c>
      <c r="S74">
        <f t="shared" si="15"/>
        <v>6.6799999999999055E-2</v>
      </c>
    </row>
    <row r="75" spans="1:19" x14ac:dyDescent="0.25">
      <c r="A75">
        <v>20.65</v>
      </c>
      <c r="B75">
        <f t="shared" si="8"/>
        <v>2.0649999999999999</v>
      </c>
      <c r="C75">
        <v>6.4000000000000005E-4</v>
      </c>
      <c r="D75">
        <f t="shared" si="12"/>
        <v>2.5600000000000091E-2</v>
      </c>
      <c r="F75">
        <v>20.65</v>
      </c>
      <c r="G75">
        <f t="shared" si="9"/>
        <v>2.0649999999999999</v>
      </c>
      <c r="H75">
        <v>5.1950000000000003E-2</v>
      </c>
      <c r="I75">
        <f t="shared" si="13"/>
        <v>0.37160000000000132</v>
      </c>
      <c r="K75">
        <v>20.65</v>
      </c>
      <c r="L75">
        <f t="shared" si="10"/>
        <v>2.0649999999999999</v>
      </c>
      <c r="M75">
        <v>3.6700000000000001E-3</v>
      </c>
      <c r="N75">
        <f t="shared" si="14"/>
        <v>6.0800000000000222E-2</v>
      </c>
      <c r="P75">
        <v>20.65</v>
      </c>
      <c r="Q75">
        <f t="shared" si="11"/>
        <v>2.0649999999999999</v>
      </c>
      <c r="R75">
        <v>0</v>
      </c>
      <c r="S75">
        <f t="shared" si="15"/>
        <v>2.1600000000000077E-2</v>
      </c>
    </row>
    <row r="76" spans="1:19" x14ac:dyDescent="0.25">
      <c r="A76">
        <v>20.9</v>
      </c>
      <c r="B76">
        <f t="shared" si="8"/>
        <v>2.09</v>
      </c>
      <c r="C76">
        <v>0</v>
      </c>
      <c r="D76">
        <f t="shared" si="12"/>
        <v>2.5600000000000091E-2</v>
      </c>
      <c r="F76">
        <v>20.9</v>
      </c>
      <c r="G76">
        <f t="shared" si="9"/>
        <v>2.09</v>
      </c>
      <c r="H76">
        <v>4.6260000000000003E-2</v>
      </c>
      <c r="I76">
        <f t="shared" si="13"/>
        <v>0.22760000000000083</v>
      </c>
      <c r="K76">
        <v>20.9</v>
      </c>
      <c r="L76">
        <f t="shared" si="10"/>
        <v>2.09</v>
      </c>
      <c r="M76">
        <v>3.0000000000000001E-3</v>
      </c>
      <c r="N76">
        <f t="shared" si="14"/>
        <v>2.6800000000000095E-2</v>
      </c>
      <c r="P76">
        <v>20.9</v>
      </c>
      <c r="Q76">
        <f t="shared" si="11"/>
        <v>2.09</v>
      </c>
      <c r="R76">
        <v>0</v>
      </c>
      <c r="S76">
        <f t="shared" si="15"/>
        <v>0</v>
      </c>
    </row>
    <row r="77" spans="1:19" x14ac:dyDescent="0.25">
      <c r="A77">
        <v>21.15</v>
      </c>
      <c r="B77">
        <f t="shared" si="8"/>
        <v>2.1149999999999998</v>
      </c>
      <c r="C77">
        <v>0</v>
      </c>
      <c r="D77">
        <f t="shared" si="12"/>
        <v>0</v>
      </c>
      <c r="F77">
        <v>21.15</v>
      </c>
      <c r="G77">
        <f t="shared" si="9"/>
        <v>2.1149999999999998</v>
      </c>
      <c r="H77">
        <v>4.0050000000000002E-2</v>
      </c>
      <c r="I77">
        <f t="shared" si="13"/>
        <v>0.2484000000000009</v>
      </c>
      <c r="K77">
        <v>21.15</v>
      </c>
      <c r="L77">
        <f t="shared" si="10"/>
        <v>2.1149999999999998</v>
      </c>
      <c r="M77">
        <v>2.3400000000000001E-3</v>
      </c>
      <c r="N77">
        <f t="shared" si="14"/>
        <v>2.6400000000000094E-2</v>
      </c>
      <c r="P77">
        <v>21.15</v>
      </c>
      <c r="Q77">
        <f t="shared" si="11"/>
        <v>2.1149999999999998</v>
      </c>
      <c r="R77">
        <v>0</v>
      </c>
      <c r="S77">
        <f t="shared" si="15"/>
        <v>0</v>
      </c>
    </row>
    <row r="78" spans="1:19" x14ac:dyDescent="0.25">
      <c r="A78">
        <v>21.4</v>
      </c>
      <c r="B78">
        <f t="shared" ref="B78:B93" si="16">A78/10</f>
        <v>2.1399999999999997</v>
      </c>
      <c r="C78">
        <v>0</v>
      </c>
      <c r="D78">
        <f t="shared" ref="D78:D93" si="17">(C77-C78)/(B78-B77)</f>
        <v>0</v>
      </c>
      <c r="F78">
        <v>21.4</v>
      </c>
      <c r="G78">
        <f t="shared" si="9"/>
        <v>2.1399999999999997</v>
      </c>
      <c r="H78">
        <v>3.2160000000000001E-2</v>
      </c>
      <c r="I78">
        <f t="shared" si="13"/>
        <v>0.31560000000000116</v>
      </c>
      <c r="K78">
        <v>21.4</v>
      </c>
      <c r="L78">
        <f t="shared" si="10"/>
        <v>2.1399999999999997</v>
      </c>
      <c r="M78">
        <v>6.2E-4</v>
      </c>
      <c r="N78">
        <f t="shared" si="14"/>
        <v>6.880000000000025E-2</v>
      </c>
      <c r="P78">
        <v>21.4</v>
      </c>
      <c r="Q78">
        <f t="shared" si="11"/>
        <v>2.1399999999999997</v>
      </c>
      <c r="R78">
        <v>0</v>
      </c>
      <c r="S78">
        <f t="shared" si="15"/>
        <v>0</v>
      </c>
    </row>
    <row r="79" spans="1:19" x14ac:dyDescent="0.25">
      <c r="A79">
        <v>21.65</v>
      </c>
      <c r="B79">
        <f t="shared" si="16"/>
        <v>2.165</v>
      </c>
      <c r="C79">
        <v>0</v>
      </c>
      <c r="D79">
        <f t="shared" si="17"/>
        <v>0</v>
      </c>
      <c r="F79">
        <v>21.65</v>
      </c>
      <c r="G79">
        <f t="shared" si="9"/>
        <v>2.165</v>
      </c>
      <c r="H79">
        <v>2.7570000000000001E-2</v>
      </c>
      <c r="I79">
        <f t="shared" si="13"/>
        <v>0.1835999999999974</v>
      </c>
      <c r="K79">
        <v>21.65</v>
      </c>
      <c r="L79">
        <f t="shared" si="10"/>
        <v>2.165</v>
      </c>
      <c r="M79">
        <v>5.9999999999999995E-4</v>
      </c>
      <c r="N79">
        <f t="shared" si="14"/>
        <v>7.9999999999999071E-4</v>
      </c>
      <c r="P79">
        <v>21.65</v>
      </c>
      <c r="Q79">
        <f t="shared" si="11"/>
        <v>2.165</v>
      </c>
      <c r="R79">
        <v>0</v>
      </c>
      <c r="S79">
        <f t="shared" si="15"/>
        <v>0</v>
      </c>
    </row>
    <row r="80" spans="1:19" x14ac:dyDescent="0.25">
      <c r="A80">
        <v>21.9</v>
      </c>
      <c r="B80">
        <f t="shared" si="16"/>
        <v>2.19</v>
      </c>
      <c r="C80">
        <v>0</v>
      </c>
      <c r="D80">
        <f t="shared" si="17"/>
        <v>0</v>
      </c>
      <c r="F80">
        <v>21.9</v>
      </c>
      <c r="G80">
        <f t="shared" si="9"/>
        <v>2.19</v>
      </c>
      <c r="H80">
        <v>2.2450000000000001E-2</v>
      </c>
      <c r="I80">
        <f t="shared" si="13"/>
        <v>0.2048000000000007</v>
      </c>
      <c r="K80">
        <v>21.9</v>
      </c>
      <c r="L80">
        <f t="shared" si="10"/>
        <v>2.19</v>
      </c>
      <c r="M80">
        <v>0</v>
      </c>
      <c r="N80">
        <f t="shared" si="14"/>
        <v>2.4000000000000084E-2</v>
      </c>
      <c r="P80">
        <v>21.9</v>
      </c>
      <c r="Q80">
        <f t="shared" si="11"/>
        <v>2.19</v>
      </c>
      <c r="R80">
        <v>0</v>
      </c>
      <c r="S80">
        <f t="shared" si="15"/>
        <v>0</v>
      </c>
    </row>
    <row r="81" spans="1:19" x14ac:dyDescent="0.25">
      <c r="A81">
        <v>22.15</v>
      </c>
      <c r="B81">
        <f t="shared" si="16"/>
        <v>2.2149999999999999</v>
      </c>
      <c r="C81">
        <v>0</v>
      </c>
      <c r="D81">
        <f t="shared" si="17"/>
        <v>0</v>
      </c>
      <c r="F81">
        <v>22.15</v>
      </c>
      <c r="G81">
        <f t="shared" si="9"/>
        <v>2.2149999999999999</v>
      </c>
      <c r="H81">
        <v>1.532E-2</v>
      </c>
      <c r="I81">
        <f t="shared" si="13"/>
        <v>0.28520000000000106</v>
      </c>
      <c r="K81">
        <v>22.15</v>
      </c>
      <c r="L81">
        <f t="shared" si="10"/>
        <v>2.2149999999999999</v>
      </c>
      <c r="M81">
        <v>0</v>
      </c>
      <c r="N81">
        <f t="shared" si="14"/>
        <v>0</v>
      </c>
      <c r="P81">
        <v>22.15</v>
      </c>
      <c r="Q81">
        <f t="shared" si="11"/>
        <v>2.2149999999999999</v>
      </c>
      <c r="R81">
        <v>0</v>
      </c>
      <c r="S81">
        <f t="shared" si="15"/>
        <v>0</v>
      </c>
    </row>
    <row r="82" spans="1:19" x14ac:dyDescent="0.25">
      <c r="A82">
        <v>22.4</v>
      </c>
      <c r="B82">
        <f t="shared" si="16"/>
        <v>2.2399999999999998</v>
      </c>
      <c r="C82">
        <v>0</v>
      </c>
      <c r="D82">
        <f t="shared" si="17"/>
        <v>0</v>
      </c>
      <c r="F82">
        <v>22.4</v>
      </c>
      <c r="G82">
        <f t="shared" si="9"/>
        <v>2.2399999999999998</v>
      </c>
      <c r="H82">
        <v>1.108E-2</v>
      </c>
      <c r="I82">
        <f t="shared" si="13"/>
        <v>0.16960000000000064</v>
      </c>
      <c r="K82">
        <v>22.4</v>
      </c>
      <c r="L82">
        <f t="shared" si="10"/>
        <v>2.2399999999999998</v>
      </c>
      <c r="M82">
        <v>0</v>
      </c>
      <c r="N82">
        <f t="shared" si="14"/>
        <v>0</v>
      </c>
      <c r="P82">
        <v>22.4</v>
      </c>
      <c r="Q82">
        <f t="shared" si="11"/>
        <v>2.2399999999999998</v>
      </c>
      <c r="R82">
        <v>0</v>
      </c>
      <c r="S82">
        <f t="shared" si="15"/>
        <v>0</v>
      </c>
    </row>
    <row r="83" spans="1:19" x14ac:dyDescent="0.25">
      <c r="A83">
        <v>22.65</v>
      </c>
      <c r="B83">
        <f t="shared" si="16"/>
        <v>2.2649999999999997</v>
      </c>
      <c r="C83">
        <v>0</v>
      </c>
      <c r="D83">
        <f t="shared" si="17"/>
        <v>0</v>
      </c>
      <c r="F83">
        <v>22.65</v>
      </c>
      <c r="G83">
        <f t="shared" si="9"/>
        <v>2.2649999999999997</v>
      </c>
      <c r="H83">
        <v>7.8499999999999993E-3</v>
      </c>
      <c r="I83">
        <f t="shared" si="13"/>
        <v>0.12920000000000048</v>
      </c>
      <c r="K83">
        <v>22.65</v>
      </c>
      <c r="L83">
        <f t="shared" si="10"/>
        <v>2.2649999999999997</v>
      </c>
      <c r="M83">
        <v>0</v>
      </c>
      <c r="N83">
        <f t="shared" si="14"/>
        <v>0</v>
      </c>
      <c r="P83">
        <v>22.65</v>
      </c>
      <c r="Q83">
        <f t="shared" si="11"/>
        <v>2.2649999999999997</v>
      </c>
      <c r="R83">
        <v>0</v>
      </c>
      <c r="S83">
        <f t="shared" si="15"/>
        <v>0</v>
      </c>
    </row>
    <row r="84" spans="1:19" x14ac:dyDescent="0.25">
      <c r="A84">
        <v>22.9</v>
      </c>
      <c r="B84">
        <f t="shared" si="16"/>
        <v>2.29</v>
      </c>
      <c r="C84">
        <v>0</v>
      </c>
      <c r="D84">
        <f t="shared" si="17"/>
        <v>0</v>
      </c>
      <c r="F84">
        <v>22.9</v>
      </c>
      <c r="G84">
        <f t="shared" si="9"/>
        <v>2.29</v>
      </c>
      <c r="H84">
        <v>5.1999999999999998E-3</v>
      </c>
      <c r="I84">
        <f t="shared" si="13"/>
        <v>0.10599999999999847</v>
      </c>
      <c r="K84">
        <v>22.9</v>
      </c>
      <c r="L84">
        <f t="shared" si="10"/>
        <v>2.29</v>
      </c>
      <c r="M84">
        <v>0</v>
      </c>
      <c r="N84">
        <f t="shared" si="14"/>
        <v>0</v>
      </c>
      <c r="P84">
        <v>22.9</v>
      </c>
      <c r="Q84">
        <f t="shared" si="11"/>
        <v>2.29</v>
      </c>
      <c r="R84">
        <v>0</v>
      </c>
      <c r="S84">
        <f t="shared" si="15"/>
        <v>0</v>
      </c>
    </row>
    <row r="85" spans="1:19" x14ac:dyDescent="0.25">
      <c r="A85">
        <v>23.15</v>
      </c>
      <c r="B85">
        <f t="shared" si="16"/>
        <v>2.3149999999999999</v>
      </c>
      <c r="C85">
        <v>0</v>
      </c>
      <c r="D85">
        <f t="shared" si="17"/>
        <v>0</v>
      </c>
      <c r="F85">
        <v>23.15</v>
      </c>
      <c r="G85">
        <f t="shared" si="9"/>
        <v>2.3149999999999999</v>
      </c>
      <c r="H85">
        <v>4.1900000000000001E-3</v>
      </c>
      <c r="I85">
        <f t="shared" si="13"/>
        <v>4.040000000000013E-2</v>
      </c>
      <c r="K85">
        <v>23.15</v>
      </c>
      <c r="L85">
        <f t="shared" si="10"/>
        <v>2.3149999999999999</v>
      </c>
      <c r="M85">
        <v>0</v>
      </c>
      <c r="N85">
        <f t="shared" si="14"/>
        <v>0</v>
      </c>
      <c r="P85">
        <v>23.15</v>
      </c>
      <c r="Q85">
        <f t="shared" si="11"/>
        <v>2.3149999999999999</v>
      </c>
      <c r="R85">
        <v>0</v>
      </c>
      <c r="S85">
        <f t="shared" si="15"/>
        <v>0</v>
      </c>
    </row>
    <row r="86" spans="1:19" x14ac:dyDescent="0.25">
      <c r="A86">
        <v>23.4</v>
      </c>
      <c r="B86">
        <f t="shared" si="16"/>
        <v>2.34</v>
      </c>
      <c r="C86">
        <v>0</v>
      </c>
      <c r="D86">
        <f t="shared" si="17"/>
        <v>0</v>
      </c>
      <c r="F86">
        <v>23.4</v>
      </c>
      <c r="G86">
        <f t="shared" si="9"/>
        <v>2.34</v>
      </c>
      <c r="H86">
        <v>4.0099999999999997E-3</v>
      </c>
      <c r="I86">
        <f t="shared" si="13"/>
        <v>7.200000000000044E-3</v>
      </c>
      <c r="K86">
        <v>23.4</v>
      </c>
      <c r="L86">
        <f t="shared" si="10"/>
        <v>2.34</v>
      </c>
      <c r="M86">
        <v>0</v>
      </c>
      <c r="N86">
        <f t="shared" si="14"/>
        <v>0</v>
      </c>
      <c r="P86">
        <v>23.4</v>
      </c>
      <c r="Q86">
        <f t="shared" si="11"/>
        <v>2.34</v>
      </c>
      <c r="R86">
        <v>0</v>
      </c>
      <c r="S86">
        <f t="shared" si="15"/>
        <v>0</v>
      </c>
    </row>
    <row r="87" spans="1:19" x14ac:dyDescent="0.25">
      <c r="A87">
        <v>23.65</v>
      </c>
      <c r="B87">
        <f t="shared" si="16"/>
        <v>2.3649999999999998</v>
      </c>
      <c r="C87">
        <v>0</v>
      </c>
      <c r="D87">
        <f t="shared" si="17"/>
        <v>0</v>
      </c>
      <c r="F87">
        <v>23.65</v>
      </c>
      <c r="G87">
        <f t="shared" si="9"/>
        <v>2.3649999999999998</v>
      </c>
      <c r="H87">
        <v>3.9100000000000003E-3</v>
      </c>
      <c r="I87">
        <f t="shared" si="13"/>
        <v>3.9999999999999897E-3</v>
      </c>
      <c r="K87">
        <v>23.65</v>
      </c>
      <c r="L87">
        <f t="shared" si="10"/>
        <v>2.3649999999999998</v>
      </c>
      <c r="M87">
        <v>0</v>
      </c>
      <c r="N87">
        <f t="shared" si="14"/>
        <v>0</v>
      </c>
      <c r="P87">
        <v>23.65</v>
      </c>
      <c r="Q87">
        <f t="shared" si="11"/>
        <v>2.3649999999999998</v>
      </c>
      <c r="R87">
        <v>0</v>
      </c>
      <c r="S87">
        <f t="shared" si="15"/>
        <v>0</v>
      </c>
    </row>
    <row r="88" spans="1:19" x14ac:dyDescent="0.25">
      <c r="A88">
        <v>23.9</v>
      </c>
      <c r="B88">
        <f t="shared" si="16"/>
        <v>2.3899999999999997</v>
      </c>
      <c r="C88">
        <v>0</v>
      </c>
      <c r="D88">
        <f t="shared" si="17"/>
        <v>0</v>
      </c>
      <c r="F88">
        <v>23.9</v>
      </c>
      <c r="G88">
        <f t="shared" si="9"/>
        <v>2.3899999999999997</v>
      </c>
      <c r="H88">
        <v>1.14E-3</v>
      </c>
      <c r="I88">
        <f t="shared" si="13"/>
        <v>0.11080000000000041</v>
      </c>
      <c r="K88">
        <v>23.9</v>
      </c>
      <c r="L88">
        <f t="shared" si="10"/>
        <v>2.3899999999999997</v>
      </c>
      <c r="M88">
        <v>0</v>
      </c>
      <c r="N88">
        <f t="shared" si="14"/>
        <v>0</v>
      </c>
      <c r="P88">
        <v>23.9</v>
      </c>
      <c r="Q88">
        <f t="shared" si="11"/>
        <v>2.3899999999999997</v>
      </c>
      <c r="R88">
        <v>0</v>
      </c>
      <c r="S88">
        <f t="shared" si="15"/>
        <v>0</v>
      </c>
    </row>
    <row r="89" spans="1:19" x14ac:dyDescent="0.25">
      <c r="A89">
        <v>24.15</v>
      </c>
      <c r="B89">
        <f t="shared" si="16"/>
        <v>2.415</v>
      </c>
      <c r="C89">
        <v>0</v>
      </c>
      <c r="D89">
        <f t="shared" si="17"/>
        <v>0</v>
      </c>
      <c r="F89">
        <v>24.15</v>
      </c>
      <c r="G89">
        <f t="shared" si="9"/>
        <v>2.415</v>
      </c>
      <c r="H89">
        <v>1.1199999999999999E-3</v>
      </c>
      <c r="I89">
        <f t="shared" si="13"/>
        <v>7.9999999999999071E-4</v>
      </c>
      <c r="K89">
        <v>24.15</v>
      </c>
      <c r="L89">
        <f t="shared" si="10"/>
        <v>2.415</v>
      </c>
      <c r="M89">
        <v>0</v>
      </c>
      <c r="N89">
        <f t="shared" si="14"/>
        <v>0</v>
      </c>
      <c r="P89">
        <v>24.15</v>
      </c>
      <c r="Q89">
        <f t="shared" si="11"/>
        <v>2.415</v>
      </c>
      <c r="R89">
        <v>0</v>
      </c>
      <c r="S89">
        <f t="shared" si="15"/>
        <v>0</v>
      </c>
    </row>
    <row r="90" spans="1:19" x14ac:dyDescent="0.25">
      <c r="A90">
        <v>24.4</v>
      </c>
      <c r="B90">
        <f t="shared" si="16"/>
        <v>2.44</v>
      </c>
      <c r="C90">
        <v>0</v>
      </c>
      <c r="D90">
        <f t="shared" si="17"/>
        <v>0</v>
      </c>
      <c r="F90">
        <v>24.4</v>
      </c>
      <c r="G90">
        <f t="shared" si="9"/>
        <v>2.44</v>
      </c>
      <c r="H90">
        <v>9.5E-4</v>
      </c>
      <c r="I90">
        <f t="shared" si="13"/>
        <v>6.8000000000000204E-3</v>
      </c>
      <c r="K90">
        <v>24.4</v>
      </c>
      <c r="L90">
        <f t="shared" si="10"/>
        <v>2.44</v>
      </c>
      <c r="M90">
        <v>0</v>
      </c>
      <c r="N90">
        <f t="shared" si="14"/>
        <v>0</v>
      </c>
      <c r="P90">
        <v>24.4</v>
      </c>
      <c r="Q90">
        <f t="shared" si="11"/>
        <v>2.44</v>
      </c>
      <c r="R90">
        <v>0</v>
      </c>
      <c r="S90">
        <f t="shared" si="15"/>
        <v>0</v>
      </c>
    </row>
    <row r="91" spans="1:19" x14ac:dyDescent="0.25">
      <c r="A91">
        <v>24.65</v>
      </c>
      <c r="B91">
        <f t="shared" si="16"/>
        <v>2.4649999999999999</v>
      </c>
      <c r="C91">
        <v>0</v>
      </c>
      <c r="D91">
        <f t="shared" si="17"/>
        <v>0</v>
      </c>
      <c r="F91">
        <v>24.65</v>
      </c>
      <c r="G91">
        <f t="shared" si="9"/>
        <v>2.4649999999999999</v>
      </c>
      <c r="H91">
        <v>0</v>
      </c>
      <c r="I91">
        <f t="shared" si="13"/>
        <v>3.8000000000000138E-2</v>
      </c>
      <c r="K91">
        <v>24.65</v>
      </c>
      <c r="L91">
        <f t="shared" si="10"/>
        <v>2.4649999999999999</v>
      </c>
      <c r="M91">
        <v>0</v>
      </c>
      <c r="N91">
        <f t="shared" si="14"/>
        <v>0</v>
      </c>
      <c r="P91">
        <v>24.65</v>
      </c>
      <c r="Q91">
        <f t="shared" si="11"/>
        <v>2.4649999999999999</v>
      </c>
      <c r="R91">
        <v>0</v>
      </c>
      <c r="S91">
        <f t="shared" si="15"/>
        <v>0</v>
      </c>
    </row>
    <row r="92" spans="1:19" x14ac:dyDescent="0.25">
      <c r="A92">
        <v>24.9</v>
      </c>
      <c r="B92">
        <f t="shared" si="16"/>
        <v>2.4899999999999998</v>
      </c>
      <c r="C92">
        <v>0</v>
      </c>
      <c r="D92">
        <f t="shared" si="17"/>
        <v>0</v>
      </c>
      <c r="F92">
        <v>24.9</v>
      </c>
      <c r="G92">
        <f t="shared" si="9"/>
        <v>2.4899999999999998</v>
      </c>
      <c r="H92">
        <v>0</v>
      </c>
      <c r="I92">
        <f t="shared" si="13"/>
        <v>0</v>
      </c>
      <c r="K92">
        <v>24.9</v>
      </c>
      <c r="L92">
        <f t="shared" si="10"/>
        <v>2.4899999999999998</v>
      </c>
      <c r="M92">
        <v>0</v>
      </c>
      <c r="N92">
        <f t="shared" si="14"/>
        <v>0</v>
      </c>
      <c r="P92">
        <v>24.9</v>
      </c>
      <c r="Q92">
        <f t="shared" si="11"/>
        <v>2.4899999999999998</v>
      </c>
      <c r="R92">
        <v>0</v>
      </c>
      <c r="S92">
        <f t="shared" si="15"/>
        <v>0</v>
      </c>
    </row>
    <row r="93" spans="1:19" x14ac:dyDescent="0.25">
      <c r="A93">
        <v>25.15</v>
      </c>
      <c r="B93">
        <f t="shared" si="16"/>
        <v>2.5149999999999997</v>
      </c>
      <c r="C93">
        <v>0</v>
      </c>
      <c r="D93">
        <f t="shared" si="17"/>
        <v>0</v>
      </c>
      <c r="F93">
        <v>25.15</v>
      </c>
      <c r="G93">
        <f t="shared" si="9"/>
        <v>2.5149999999999997</v>
      </c>
      <c r="H93">
        <v>0</v>
      </c>
      <c r="I93">
        <f t="shared" si="13"/>
        <v>0</v>
      </c>
      <c r="K93">
        <v>25.15</v>
      </c>
      <c r="L93">
        <f t="shared" si="10"/>
        <v>2.5149999999999997</v>
      </c>
      <c r="M93">
        <v>0</v>
      </c>
      <c r="N93">
        <f t="shared" si="14"/>
        <v>0</v>
      </c>
      <c r="P93">
        <v>25.15</v>
      </c>
      <c r="Q93">
        <f t="shared" si="11"/>
        <v>2.5149999999999997</v>
      </c>
      <c r="R93">
        <v>0</v>
      </c>
      <c r="S93">
        <f t="shared" si="15"/>
        <v>0</v>
      </c>
    </row>
  </sheetData>
  <mergeCells count="5">
    <mergeCell ref="A2:D2"/>
    <mergeCell ref="F2:I2"/>
    <mergeCell ref="K2:N2"/>
    <mergeCell ref="P2:S2"/>
    <mergeCell ref="A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419B-B258-49FA-BAC6-D639B8E57A1A}">
  <dimension ref="A1:W203"/>
  <sheetViews>
    <sheetView workbookViewId="0">
      <selection activeCell="W18" sqref="W18"/>
    </sheetView>
  </sheetViews>
  <sheetFormatPr defaultRowHeight="15" x14ac:dyDescent="0.25"/>
  <cols>
    <col min="3" max="3" width="14.85546875" bestFit="1" customWidth="1"/>
    <col min="13" max="13" width="14.85546875" bestFit="1" customWidth="1"/>
    <col min="21" max="21" width="18" bestFit="1" customWidth="1"/>
  </cols>
  <sheetData>
    <row r="1" spans="1:23" x14ac:dyDescent="0.25">
      <c r="A1" s="5" t="s">
        <v>20</v>
      </c>
      <c r="B1" s="5"/>
      <c r="C1" s="5"/>
      <c r="D1" s="5"/>
      <c r="E1" s="3"/>
      <c r="F1" s="5" t="s">
        <v>16</v>
      </c>
      <c r="G1" s="5"/>
      <c r="H1" s="5"/>
      <c r="I1" s="5"/>
      <c r="J1" s="3"/>
      <c r="K1" s="5" t="s">
        <v>20</v>
      </c>
      <c r="L1" s="5"/>
      <c r="M1" s="5"/>
      <c r="N1" s="5"/>
      <c r="O1" s="3"/>
      <c r="P1" s="5" t="s">
        <v>16</v>
      </c>
      <c r="Q1" s="5"/>
      <c r="R1" s="5"/>
      <c r="S1" s="5"/>
    </row>
    <row r="2" spans="1:23" x14ac:dyDescent="0.25">
      <c r="A2" s="5" t="s">
        <v>10</v>
      </c>
      <c r="B2" s="5"/>
      <c r="C2" s="5"/>
      <c r="D2" s="5"/>
      <c r="F2" s="5" t="s">
        <v>11</v>
      </c>
      <c r="G2" s="5"/>
      <c r="H2" s="5"/>
      <c r="I2" s="5"/>
      <c r="K2" s="5" t="s">
        <v>13</v>
      </c>
      <c r="L2" s="5"/>
      <c r="M2" s="5"/>
      <c r="N2" s="5"/>
      <c r="P2" s="5" t="s">
        <v>14</v>
      </c>
      <c r="Q2" s="5"/>
      <c r="R2" s="5"/>
      <c r="S2" s="5"/>
      <c r="U2" s="5" t="s">
        <v>15</v>
      </c>
      <c r="V2" s="5"/>
      <c r="W2" s="5"/>
    </row>
    <row r="3" spans="1:23" x14ac:dyDescent="0.25">
      <c r="A3" t="s">
        <v>3</v>
      </c>
      <c r="B3" t="s">
        <v>2</v>
      </c>
      <c r="C3" t="s">
        <v>0</v>
      </c>
      <c r="D3" t="s">
        <v>1</v>
      </c>
      <c r="F3" t="s">
        <v>3</v>
      </c>
      <c r="G3" t="s">
        <v>2</v>
      </c>
      <c r="H3" t="s">
        <v>4</v>
      </c>
      <c r="I3" t="s">
        <v>5</v>
      </c>
      <c r="K3" t="s">
        <v>3</v>
      </c>
      <c r="L3" t="s">
        <v>2</v>
      </c>
      <c r="M3" t="s">
        <v>0</v>
      </c>
      <c r="N3" t="s">
        <v>1</v>
      </c>
      <c r="P3" t="s">
        <v>3</v>
      </c>
      <c r="Q3" t="s">
        <v>2</v>
      </c>
      <c r="R3" t="s">
        <v>4</v>
      </c>
      <c r="S3" t="s">
        <v>5</v>
      </c>
      <c r="U3" t="str">
        <f>A2</f>
        <v>PrO-VAT L = 1.0 A</v>
      </c>
      <c r="V3" s="4" t="s">
        <v>19</v>
      </c>
      <c r="W3" t="s">
        <v>12</v>
      </c>
    </row>
    <row r="4" spans="1:23" x14ac:dyDescent="0.25">
      <c r="A4">
        <v>0</v>
      </c>
      <c r="B4">
        <f>A4/10</f>
        <v>0</v>
      </c>
      <c r="C4">
        <v>1</v>
      </c>
      <c r="D4">
        <v>0</v>
      </c>
      <c r="F4">
        <v>0</v>
      </c>
      <c r="G4">
        <f t="shared" ref="G4:G35" si="0">F4/10</f>
        <v>0</v>
      </c>
      <c r="H4">
        <v>0.99999990000000005</v>
      </c>
      <c r="I4">
        <v>0</v>
      </c>
      <c r="K4">
        <v>0</v>
      </c>
      <c r="L4">
        <f>K4/10</f>
        <v>0</v>
      </c>
      <c r="M4">
        <v>1</v>
      </c>
      <c r="N4">
        <v>0</v>
      </c>
      <c r="P4">
        <v>0</v>
      </c>
      <c r="Q4">
        <f>P4/10</f>
        <v>0</v>
      </c>
      <c r="R4">
        <v>1</v>
      </c>
      <c r="S4">
        <v>0</v>
      </c>
      <c r="U4" t="str">
        <f>F2</f>
        <v>PoreBlazer L = 1.0 A</v>
      </c>
      <c r="V4" s="4" t="s">
        <v>17</v>
      </c>
      <c r="W4" t="s">
        <v>12</v>
      </c>
    </row>
    <row r="5" spans="1:23" x14ac:dyDescent="0.25">
      <c r="A5">
        <v>3.15</v>
      </c>
      <c r="B5">
        <f t="shared" ref="B5:B68" si="1">A5/10</f>
        <v>0.315</v>
      </c>
      <c r="C5">
        <v>1</v>
      </c>
      <c r="D5">
        <f>(C4-C5)/(B5-B4)</f>
        <v>0</v>
      </c>
      <c r="F5">
        <v>0.25</v>
      </c>
      <c r="G5">
        <f t="shared" si="0"/>
        <v>2.5000000000000001E-2</v>
      </c>
      <c r="H5">
        <v>0.99999990000000005</v>
      </c>
      <c r="I5">
        <f t="shared" ref="I5:I36" si="2">(H4-H5)/(G5-G4)</f>
        <v>0</v>
      </c>
      <c r="K5">
        <v>3.15</v>
      </c>
      <c r="L5">
        <f t="shared" ref="L5:L68" si="3">K5/10</f>
        <v>0.315</v>
      </c>
      <c r="M5">
        <v>1</v>
      </c>
      <c r="N5">
        <f>(M4-M5)/(L5-L4)</f>
        <v>0</v>
      </c>
      <c r="P5">
        <v>0.25</v>
      </c>
      <c r="Q5">
        <f t="shared" ref="Q5:Q68" si="4">P5/10</f>
        <v>2.5000000000000001E-2</v>
      </c>
      <c r="R5">
        <v>1</v>
      </c>
      <c r="S5">
        <f>(R4-R5)/(Q5-Q4)</f>
        <v>0</v>
      </c>
      <c r="U5" t="str">
        <f>K2</f>
        <v>PrO-VAT L = 0.5 A</v>
      </c>
      <c r="V5" s="4" t="s">
        <v>27</v>
      </c>
      <c r="W5" t="s">
        <v>12</v>
      </c>
    </row>
    <row r="6" spans="1:23" x14ac:dyDescent="0.25">
      <c r="A6">
        <v>3.4</v>
      </c>
      <c r="B6">
        <f t="shared" si="1"/>
        <v>0.33999999999999997</v>
      </c>
      <c r="C6">
        <v>0.99458999999999997</v>
      </c>
      <c r="D6">
        <f t="shared" ref="D6:D69" si="5">(C5-C6)/(B6-B5)</f>
        <v>0.21640000000000131</v>
      </c>
      <c r="F6">
        <v>0.5</v>
      </c>
      <c r="G6">
        <f t="shared" si="0"/>
        <v>0.05</v>
      </c>
      <c r="H6">
        <v>0.99999990000000005</v>
      </c>
      <c r="I6">
        <f t="shared" si="2"/>
        <v>0</v>
      </c>
      <c r="K6">
        <v>3.4</v>
      </c>
      <c r="L6">
        <f t="shared" si="3"/>
        <v>0.33999999999999997</v>
      </c>
      <c r="M6">
        <v>0.99438000000000004</v>
      </c>
      <c r="N6">
        <f t="shared" ref="N6:N69" si="6">(M5-M6)/(L6-L5)</f>
        <v>0.22479999999999864</v>
      </c>
      <c r="P6">
        <v>0.5</v>
      </c>
      <c r="Q6">
        <f t="shared" si="4"/>
        <v>0.05</v>
      </c>
      <c r="R6">
        <v>1</v>
      </c>
      <c r="S6">
        <f t="shared" ref="S6:S69" si="7">(R5-R6)/(Q6-Q5)</f>
        <v>0</v>
      </c>
      <c r="U6" t="str">
        <f>P2</f>
        <v>PoreBlazer L = 0.5 A</v>
      </c>
      <c r="V6" s="4" t="s">
        <v>24</v>
      </c>
      <c r="W6" t="s">
        <v>12</v>
      </c>
    </row>
    <row r="7" spans="1:23" x14ac:dyDescent="0.25">
      <c r="A7">
        <v>3.65</v>
      </c>
      <c r="B7">
        <f t="shared" si="1"/>
        <v>0.36499999999999999</v>
      </c>
      <c r="C7">
        <v>0.97867999999999999</v>
      </c>
      <c r="D7">
        <f t="shared" si="5"/>
        <v>0.63639999999999863</v>
      </c>
      <c r="F7">
        <v>0.75</v>
      </c>
      <c r="G7">
        <f t="shared" si="0"/>
        <v>7.4999999999999997E-2</v>
      </c>
      <c r="H7">
        <v>0.99999990000000005</v>
      </c>
      <c r="I7">
        <f t="shared" si="2"/>
        <v>0</v>
      </c>
      <c r="K7">
        <v>3.65</v>
      </c>
      <c r="L7">
        <f t="shared" si="3"/>
        <v>0.36499999999999999</v>
      </c>
      <c r="M7">
        <v>0.97726999999999997</v>
      </c>
      <c r="N7">
        <f t="shared" si="6"/>
        <v>0.68440000000000223</v>
      </c>
      <c r="P7">
        <v>0.75</v>
      </c>
      <c r="Q7">
        <f t="shared" si="4"/>
        <v>7.4999999999999997E-2</v>
      </c>
      <c r="R7">
        <v>1</v>
      </c>
      <c r="S7">
        <f t="shared" si="7"/>
        <v>0</v>
      </c>
    </row>
    <row r="8" spans="1:23" x14ac:dyDescent="0.25">
      <c r="A8">
        <v>3.9</v>
      </c>
      <c r="B8">
        <f t="shared" si="1"/>
        <v>0.39</v>
      </c>
      <c r="C8">
        <v>0.96057000000000003</v>
      </c>
      <c r="D8">
        <f t="shared" si="5"/>
        <v>0.72439999999999771</v>
      </c>
      <c r="F8">
        <v>1</v>
      </c>
      <c r="G8">
        <f t="shared" si="0"/>
        <v>0.1</v>
      </c>
      <c r="H8">
        <v>0.99999990000000005</v>
      </c>
      <c r="I8">
        <f t="shared" si="2"/>
        <v>0</v>
      </c>
      <c r="K8">
        <v>3.9</v>
      </c>
      <c r="L8">
        <f t="shared" si="3"/>
        <v>0.39</v>
      </c>
      <c r="M8">
        <v>0.95762000000000003</v>
      </c>
      <c r="N8">
        <f t="shared" si="6"/>
        <v>0.78599999999999715</v>
      </c>
      <c r="P8">
        <v>1</v>
      </c>
      <c r="Q8">
        <f t="shared" si="4"/>
        <v>0.1</v>
      </c>
      <c r="R8">
        <v>1</v>
      </c>
      <c r="S8">
        <f t="shared" si="7"/>
        <v>0</v>
      </c>
    </row>
    <row r="9" spans="1:23" x14ac:dyDescent="0.25">
      <c r="A9">
        <v>4.1500000000000004</v>
      </c>
      <c r="B9">
        <f t="shared" si="1"/>
        <v>0.41500000000000004</v>
      </c>
      <c r="C9">
        <v>0.94106999999999996</v>
      </c>
      <c r="D9">
        <f t="shared" si="5"/>
        <v>0.78000000000000225</v>
      </c>
      <c r="F9">
        <v>1.25</v>
      </c>
      <c r="G9">
        <f t="shared" si="0"/>
        <v>0.125</v>
      </c>
      <c r="H9">
        <v>0.99999990000000005</v>
      </c>
      <c r="I9">
        <f t="shared" si="2"/>
        <v>0</v>
      </c>
      <c r="K9">
        <v>4.1500000000000004</v>
      </c>
      <c r="L9">
        <f t="shared" si="3"/>
        <v>0.41500000000000004</v>
      </c>
      <c r="M9">
        <v>0.93679999999999997</v>
      </c>
      <c r="N9">
        <f t="shared" si="6"/>
        <v>0.83280000000000165</v>
      </c>
      <c r="P9">
        <v>1.25</v>
      </c>
      <c r="Q9">
        <f t="shared" si="4"/>
        <v>0.125</v>
      </c>
      <c r="R9">
        <v>1</v>
      </c>
      <c r="S9">
        <f t="shared" si="7"/>
        <v>0</v>
      </c>
    </row>
    <row r="10" spans="1:23" x14ac:dyDescent="0.25">
      <c r="A10">
        <v>4.4000000000000004</v>
      </c>
      <c r="B10">
        <f t="shared" si="1"/>
        <v>0.44000000000000006</v>
      </c>
      <c r="C10">
        <v>0.92081000000000002</v>
      </c>
      <c r="D10">
        <f t="shared" si="5"/>
        <v>0.81039999999999712</v>
      </c>
      <c r="F10">
        <v>1.5</v>
      </c>
      <c r="G10">
        <f t="shared" si="0"/>
        <v>0.15</v>
      </c>
      <c r="H10">
        <v>0.99999990000000005</v>
      </c>
      <c r="I10">
        <f t="shared" si="2"/>
        <v>0</v>
      </c>
      <c r="K10">
        <v>4.4000000000000004</v>
      </c>
      <c r="L10">
        <f t="shared" si="3"/>
        <v>0.44000000000000006</v>
      </c>
      <c r="M10">
        <v>0.91593999999999998</v>
      </c>
      <c r="N10">
        <f t="shared" si="6"/>
        <v>0.83439999999999881</v>
      </c>
      <c r="P10">
        <v>1.5</v>
      </c>
      <c r="Q10">
        <f t="shared" si="4"/>
        <v>0.15</v>
      </c>
      <c r="R10">
        <v>1</v>
      </c>
      <c r="S10">
        <f t="shared" si="7"/>
        <v>0</v>
      </c>
    </row>
    <row r="11" spans="1:23" x14ac:dyDescent="0.25">
      <c r="A11">
        <v>4.6500000000000004</v>
      </c>
      <c r="B11">
        <f t="shared" si="1"/>
        <v>0.46500000000000002</v>
      </c>
      <c r="C11">
        <v>0.90036000000000005</v>
      </c>
      <c r="D11">
        <f t="shared" si="5"/>
        <v>0.81799999999999984</v>
      </c>
      <c r="F11">
        <v>1.75</v>
      </c>
      <c r="G11">
        <f t="shared" si="0"/>
        <v>0.17499999999999999</v>
      </c>
      <c r="H11">
        <v>0.99999990000000005</v>
      </c>
      <c r="I11">
        <f t="shared" si="2"/>
        <v>0</v>
      </c>
      <c r="K11">
        <v>4.6500000000000004</v>
      </c>
      <c r="L11">
        <f t="shared" si="3"/>
        <v>0.46500000000000002</v>
      </c>
      <c r="M11">
        <v>0.89487000000000005</v>
      </c>
      <c r="N11">
        <f t="shared" si="6"/>
        <v>0.842799999999998</v>
      </c>
      <c r="P11">
        <v>1.75</v>
      </c>
      <c r="Q11">
        <f t="shared" si="4"/>
        <v>0.17499999999999999</v>
      </c>
      <c r="R11">
        <v>1</v>
      </c>
      <c r="S11">
        <f t="shared" si="7"/>
        <v>0</v>
      </c>
    </row>
    <row r="12" spans="1:23" x14ac:dyDescent="0.25">
      <c r="A12">
        <v>4.9000000000000004</v>
      </c>
      <c r="B12">
        <f t="shared" si="1"/>
        <v>0.49000000000000005</v>
      </c>
      <c r="C12">
        <v>0.87960000000000005</v>
      </c>
      <c r="D12">
        <f t="shared" si="5"/>
        <v>0.83039999999999925</v>
      </c>
      <c r="F12">
        <v>2</v>
      </c>
      <c r="G12">
        <f t="shared" si="0"/>
        <v>0.2</v>
      </c>
      <c r="H12">
        <v>0.99999990000000005</v>
      </c>
      <c r="I12">
        <f t="shared" si="2"/>
        <v>0</v>
      </c>
      <c r="K12">
        <v>4.9000000000000004</v>
      </c>
      <c r="L12">
        <f t="shared" si="3"/>
        <v>0.49000000000000005</v>
      </c>
      <c r="M12">
        <v>0.87395999999999996</v>
      </c>
      <c r="N12">
        <f t="shared" si="6"/>
        <v>0.83640000000000303</v>
      </c>
      <c r="P12">
        <v>2</v>
      </c>
      <c r="Q12">
        <f t="shared" si="4"/>
        <v>0.2</v>
      </c>
      <c r="R12">
        <v>1</v>
      </c>
      <c r="S12">
        <f t="shared" si="7"/>
        <v>0</v>
      </c>
    </row>
    <row r="13" spans="1:23" x14ac:dyDescent="0.25">
      <c r="A13">
        <v>5.15</v>
      </c>
      <c r="B13">
        <f t="shared" si="1"/>
        <v>0.51500000000000001</v>
      </c>
      <c r="C13">
        <v>0.85873999999999995</v>
      </c>
      <c r="D13">
        <f t="shared" si="5"/>
        <v>0.83440000000000514</v>
      </c>
      <c r="F13">
        <v>2.25</v>
      </c>
      <c r="G13">
        <f t="shared" si="0"/>
        <v>0.22500000000000001</v>
      </c>
      <c r="H13">
        <v>0.99984200000000001</v>
      </c>
      <c r="I13">
        <f t="shared" si="2"/>
        <v>6.3160000000017664E-3</v>
      </c>
      <c r="K13">
        <v>5.15</v>
      </c>
      <c r="L13">
        <f t="shared" si="3"/>
        <v>0.51500000000000001</v>
      </c>
      <c r="M13">
        <v>0.85331000000000001</v>
      </c>
      <c r="N13">
        <f t="shared" si="6"/>
        <v>0.82599999999999896</v>
      </c>
      <c r="P13">
        <v>2.25</v>
      </c>
      <c r="Q13">
        <f t="shared" si="4"/>
        <v>0.22500000000000001</v>
      </c>
      <c r="R13">
        <v>1</v>
      </c>
      <c r="S13">
        <f t="shared" si="7"/>
        <v>0</v>
      </c>
    </row>
    <row r="14" spans="1:23" x14ac:dyDescent="0.25">
      <c r="A14">
        <v>5.4</v>
      </c>
      <c r="B14">
        <f t="shared" si="1"/>
        <v>0.54</v>
      </c>
      <c r="C14">
        <v>0.83789999999999998</v>
      </c>
      <c r="D14">
        <f t="shared" si="5"/>
        <v>0.83359999999999801</v>
      </c>
      <c r="F14">
        <v>2.5</v>
      </c>
      <c r="G14">
        <f t="shared" si="0"/>
        <v>0.25</v>
      </c>
      <c r="H14">
        <v>0.99968409999999996</v>
      </c>
      <c r="I14">
        <f t="shared" si="2"/>
        <v>6.3160000000017664E-3</v>
      </c>
      <c r="K14">
        <v>5.4</v>
      </c>
      <c r="L14">
        <f t="shared" si="3"/>
        <v>0.54</v>
      </c>
      <c r="M14">
        <v>0.83267999999999998</v>
      </c>
      <c r="N14">
        <f t="shared" si="6"/>
        <v>0.82520000000000071</v>
      </c>
      <c r="P14">
        <v>2.5</v>
      </c>
      <c r="Q14">
        <f t="shared" si="4"/>
        <v>0.25</v>
      </c>
      <c r="R14">
        <v>0.99824590000000002</v>
      </c>
      <c r="S14">
        <f t="shared" si="7"/>
        <v>7.0163999999999241E-2</v>
      </c>
    </row>
    <row r="15" spans="1:23" x14ac:dyDescent="0.25">
      <c r="A15">
        <v>5.65</v>
      </c>
      <c r="B15">
        <f t="shared" si="1"/>
        <v>0.56500000000000006</v>
      </c>
      <c r="C15">
        <v>0.81620000000000004</v>
      </c>
      <c r="D15">
        <f t="shared" si="5"/>
        <v>0.86799999999999689</v>
      </c>
      <c r="F15">
        <v>2.75</v>
      </c>
      <c r="G15">
        <f t="shared" si="0"/>
        <v>0.27500000000000002</v>
      </c>
      <c r="H15">
        <v>0.99842070000000005</v>
      </c>
      <c r="I15">
        <f t="shared" si="2"/>
        <v>5.0535999999996542E-2</v>
      </c>
      <c r="K15">
        <v>5.65</v>
      </c>
      <c r="L15">
        <f t="shared" si="3"/>
        <v>0.56500000000000006</v>
      </c>
      <c r="M15">
        <v>0.81184999999999996</v>
      </c>
      <c r="N15">
        <f t="shared" si="6"/>
        <v>0.83319999999999983</v>
      </c>
      <c r="P15">
        <v>2.75</v>
      </c>
      <c r="Q15">
        <f t="shared" si="4"/>
        <v>0.27500000000000002</v>
      </c>
      <c r="R15">
        <v>0.99576089999999995</v>
      </c>
      <c r="S15">
        <f t="shared" si="7"/>
        <v>9.9400000000002736E-2</v>
      </c>
    </row>
    <row r="16" spans="1:23" x14ac:dyDescent="0.25">
      <c r="A16">
        <v>5.9</v>
      </c>
      <c r="B16">
        <f t="shared" si="1"/>
        <v>0.59000000000000008</v>
      </c>
      <c r="C16">
        <v>0.79430999999999996</v>
      </c>
      <c r="D16">
        <f t="shared" si="5"/>
        <v>0.87560000000000227</v>
      </c>
      <c r="F16">
        <v>3</v>
      </c>
      <c r="G16">
        <f t="shared" si="0"/>
        <v>0.3</v>
      </c>
      <c r="H16">
        <v>0.99368290000000004</v>
      </c>
      <c r="I16">
        <f t="shared" si="2"/>
        <v>0.18951200000000082</v>
      </c>
      <c r="K16">
        <v>5.9</v>
      </c>
      <c r="L16">
        <f t="shared" si="3"/>
        <v>0.59000000000000008</v>
      </c>
      <c r="M16">
        <v>0.79108999999999996</v>
      </c>
      <c r="N16">
        <f t="shared" si="6"/>
        <v>0.83039999999999925</v>
      </c>
      <c r="P16">
        <v>3</v>
      </c>
      <c r="Q16">
        <f t="shared" si="4"/>
        <v>0.3</v>
      </c>
      <c r="R16">
        <v>0.99108320000000005</v>
      </c>
      <c r="S16">
        <f t="shared" si="7"/>
        <v>0.18710799999999608</v>
      </c>
    </row>
    <row r="17" spans="1:19" x14ac:dyDescent="0.25">
      <c r="A17">
        <v>6.15</v>
      </c>
      <c r="B17">
        <f t="shared" si="1"/>
        <v>0.61499999999999999</v>
      </c>
      <c r="C17">
        <v>0.77329000000000003</v>
      </c>
      <c r="D17">
        <f t="shared" si="5"/>
        <v>0.8408000000000001</v>
      </c>
      <c r="F17">
        <v>3.25</v>
      </c>
      <c r="G17">
        <f t="shared" si="0"/>
        <v>0.32500000000000001</v>
      </c>
      <c r="H17">
        <v>0.97741630000000002</v>
      </c>
      <c r="I17">
        <f t="shared" si="2"/>
        <v>0.65066400000000024</v>
      </c>
      <c r="K17">
        <v>6.15</v>
      </c>
      <c r="L17">
        <f t="shared" si="3"/>
        <v>0.61499999999999999</v>
      </c>
      <c r="M17">
        <v>0.77007999999999999</v>
      </c>
      <c r="N17">
        <f t="shared" si="6"/>
        <v>0.84040000000000192</v>
      </c>
      <c r="P17">
        <v>3.25</v>
      </c>
      <c r="Q17">
        <f t="shared" si="4"/>
        <v>0.32500000000000001</v>
      </c>
      <c r="R17">
        <v>0.97602699999999998</v>
      </c>
      <c r="S17">
        <f t="shared" si="7"/>
        <v>0.60224800000000245</v>
      </c>
    </row>
    <row r="18" spans="1:19" x14ac:dyDescent="0.25">
      <c r="A18">
        <v>6.4</v>
      </c>
      <c r="B18">
        <f t="shared" si="1"/>
        <v>0.64</v>
      </c>
      <c r="C18">
        <v>0.75244999999999995</v>
      </c>
      <c r="D18">
        <f t="shared" si="5"/>
        <v>0.83360000000000245</v>
      </c>
      <c r="F18">
        <v>3.5</v>
      </c>
      <c r="G18">
        <f t="shared" si="0"/>
        <v>0.35</v>
      </c>
      <c r="H18">
        <v>0.95988629999999997</v>
      </c>
      <c r="I18">
        <f t="shared" si="2"/>
        <v>0.70120000000000271</v>
      </c>
      <c r="K18">
        <v>6.4</v>
      </c>
      <c r="L18">
        <f t="shared" si="3"/>
        <v>0.64</v>
      </c>
      <c r="M18">
        <v>0.74958000000000002</v>
      </c>
      <c r="N18">
        <f t="shared" si="6"/>
        <v>0.81999999999999773</v>
      </c>
      <c r="P18">
        <v>3.5</v>
      </c>
      <c r="Q18">
        <f t="shared" si="4"/>
        <v>0.35</v>
      </c>
      <c r="R18">
        <v>0.95278470000000004</v>
      </c>
      <c r="S18">
        <f t="shared" si="7"/>
        <v>0.92969199999999874</v>
      </c>
    </row>
    <row r="19" spans="1:19" x14ac:dyDescent="0.25">
      <c r="A19">
        <v>6.65</v>
      </c>
      <c r="B19">
        <f t="shared" si="1"/>
        <v>0.66500000000000004</v>
      </c>
      <c r="C19">
        <v>0.73068</v>
      </c>
      <c r="D19">
        <f t="shared" si="5"/>
        <v>0.87079999999999746</v>
      </c>
      <c r="F19">
        <v>3.75</v>
      </c>
      <c r="G19">
        <f t="shared" si="0"/>
        <v>0.375</v>
      </c>
      <c r="H19">
        <v>0.93398610000000004</v>
      </c>
      <c r="I19">
        <f t="shared" si="2"/>
        <v>1.0360079999999963</v>
      </c>
      <c r="K19">
        <v>6.65</v>
      </c>
      <c r="L19">
        <f t="shared" si="3"/>
        <v>0.66500000000000004</v>
      </c>
      <c r="M19">
        <v>0.72904999999999998</v>
      </c>
      <c r="N19">
        <f t="shared" si="6"/>
        <v>0.82120000000000115</v>
      </c>
      <c r="P19">
        <v>3.75</v>
      </c>
      <c r="Q19">
        <f t="shared" si="4"/>
        <v>0.375</v>
      </c>
      <c r="R19">
        <v>0.93100430000000001</v>
      </c>
      <c r="S19">
        <f t="shared" si="7"/>
        <v>0.87121600000000055</v>
      </c>
    </row>
    <row r="20" spans="1:19" x14ac:dyDescent="0.25">
      <c r="A20">
        <v>6.9</v>
      </c>
      <c r="B20">
        <f t="shared" si="1"/>
        <v>0.69000000000000006</v>
      </c>
      <c r="C20">
        <v>0.70828000000000002</v>
      </c>
      <c r="D20">
        <f t="shared" si="5"/>
        <v>0.89599999999999824</v>
      </c>
      <c r="F20">
        <v>4</v>
      </c>
      <c r="G20">
        <f t="shared" si="0"/>
        <v>0.4</v>
      </c>
      <c r="H20">
        <v>0.91614019999999996</v>
      </c>
      <c r="I20">
        <f t="shared" si="2"/>
        <v>0.71383600000000258</v>
      </c>
      <c r="K20">
        <v>6.9</v>
      </c>
      <c r="L20">
        <f t="shared" si="3"/>
        <v>0.69000000000000006</v>
      </c>
      <c r="M20">
        <v>0.70818000000000003</v>
      </c>
      <c r="N20">
        <f t="shared" si="6"/>
        <v>0.83479999999999699</v>
      </c>
      <c r="P20">
        <v>4</v>
      </c>
      <c r="Q20">
        <f t="shared" si="4"/>
        <v>0.4</v>
      </c>
      <c r="R20">
        <v>0.90162260000000005</v>
      </c>
      <c r="S20">
        <f t="shared" si="7"/>
        <v>1.1752679999999971</v>
      </c>
    </row>
    <row r="21" spans="1:19" x14ac:dyDescent="0.25">
      <c r="A21">
        <v>7.15</v>
      </c>
      <c r="B21">
        <f t="shared" si="1"/>
        <v>0.71500000000000008</v>
      </c>
      <c r="C21">
        <v>0.68652999999999997</v>
      </c>
      <c r="D21">
        <f t="shared" si="5"/>
        <v>0.87000000000000111</v>
      </c>
      <c r="F21">
        <v>4.25</v>
      </c>
      <c r="G21">
        <f t="shared" si="0"/>
        <v>0.42499999999999999</v>
      </c>
      <c r="H21">
        <v>0.89861020000000003</v>
      </c>
      <c r="I21">
        <f t="shared" si="2"/>
        <v>0.70119999999999827</v>
      </c>
      <c r="K21">
        <v>7.15</v>
      </c>
      <c r="L21">
        <f t="shared" si="3"/>
        <v>0.71500000000000008</v>
      </c>
      <c r="M21">
        <v>0.68723999999999996</v>
      </c>
      <c r="N21">
        <f t="shared" si="6"/>
        <v>0.83760000000000201</v>
      </c>
      <c r="P21">
        <v>4.25</v>
      </c>
      <c r="Q21">
        <f t="shared" si="4"/>
        <v>0.42499999999999999</v>
      </c>
      <c r="R21">
        <v>0.88612780000000002</v>
      </c>
      <c r="S21">
        <f t="shared" si="7"/>
        <v>0.61979200000000201</v>
      </c>
    </row>
    <row r="22" spans="1:19" x14ac:dyDescent="0.25">
      <c r="A22">
        <v>7.4</v>
      </c>
      <c r="B22">
        <f t="shared" si="1"/>
        <v>0.74</v>
      </c>
      <c r="C22">
        <v>0.66439999999999999</v>
      </c>
      <c r="D22">
        <f t="shared" si="5"/>
        <v>0.88520000000000243</v>
      </c>
      <c r="F22">
        <v>4.5</v>
      </c>
      <c r="G22">
        <f t="shared" si="0"/>
        <v>0.45</v>
      </c>
      <c r="H22">
        <v>0.89166129999999999</v>
      </c>
      <c r="I22">
        <f t="shared" si="2"/>
        <v>0.2779560000000012</v>
      </c>
      <c r="K22">
        <v>7.4</v>
      </c>
      <c r="L22">
        <f t="shared" si="3"/>
        <v>0.74</v>
      </c>
      <c r="M22">
        <v>0.66617999999999999</v>
      </c>
      <c r="N22">
        <f t="shared" si="6"/>
        <v>0.8424000000000017</v>
      </c>
      <c r="P22">
        <v>4.5</v>
      </c>
      <c r="Q22">
        <f t="shared" si="4"/>
        <v>0.45</v>
      </c>
      <c r="R22">
        <v>0.86332410000000004</v>
      </c>
      <c r="S22">
        <f t="shared" si="7"/>
        <v>0.91214799999999852</v>
      </c>
    </row>
    <row r="23" spans="1:19" x14ac:dyDescent="0.25">
      <c r="A23">
        <v>7.65</v>
      </c>
      <c r="B23">
        <f t="shared" si="1"/>
        <v>0.76500000000000001</v>
      </c>
      <c r="C23">
        <v>0.64183999999999997</v>
      </c>
      <c r="D23">
        <f t="shared" si="5"/>
        <v>0.9024000000000002</v>
      </c>
      <c r="F23">
        <v>4.75</v>
      </c>
      <c r="G23">
        <f t="shared" si="0"/>
        <v>0.47499999999999998</v>
      </c>
      <c r="H23">
        <v>0.86402400000000001</v>
      </c>
      <c r="I23">
        <f t="shared" si="2"/>
        <v>1.1054920000000006</v>
      </c>
      <c r="K23">
        <v>7.65</v>
      </c>
      <c r="L23">
        <f t="shared" si="3"/>
        <v>0.76500000000000001</v>
      </c>
      <c r="M23">
        <v>0.64493</v>
      </c>
      <c r="N23">
        <f t="shared" si="6"/>
        <v>0.84999999999999887</v>
      </c>
      <c r="P23">
        <v>4.75</v>
      </c>
      <c r="Q23">
        <f t="shared" si="4"/>
        <v>0.47499999999999998</v>
      </c>
      <c r="R23">
        <v>0.83540420000000004</v>
      </c>
      <c r="S23">
        <f t="shared" si="7"/>
        <v>1.1167960000000015</v>
      </c>
    </row>
    <row r="24" spans="1:19" x14ac:dyDescent="0.25">
      <c r="A24">
        <v>7.9</v>
      </c>
      <c r="B24">
        <f t="shared" si="1"/>
        <v>0.79</v>
      </c>
      <c r="C24">
        <v>0.61999000000000004</v>
      </c>
      <c r="D24">
        <f t="shared" si="5"/>
        <v>0.87399999999999622</v>
      </c>
      <c r="F24">
        <v>5</v>
      </c>
      <c r="G24">
        <f t="shared" si="0"/>
        <v>0.5</v>
      </c>
      <c r="H24">
        <v>0.84049269999999998</v>
      </c>
      <c r="I24">
        <f t="shared" si="2"/>
        <v>0.94125200000000042</v>
      </c>
      <c r="K24">
        <v>7.9</v>
      </c>
      <c r="L24">
        <f t="shared" si="3"/>
        <v>0.79</v>
      </c>
      <c r="M24">
        <v>0.62407999999999997</v>
      </c>
      <c r="N24">
        <f t="shared" si="6"/>
        <v>0.83400000000000063</v>
      </c>
      <c r="P24">
        <v>5</v>
      </c>
      <c r="Q24">
        <f t="shared" si="4"/>
        <v>0.5</v>
      </c>
      <c r="R24">
        <v>0.81800910000000004</v>
      </c>
      <c r="S24">
        <f t="shared" si="7"/>
        <v>0.6958039999999992</v>
      </c>
    </row>
    <row r="25" spans="1:19" x14ac:dyDescent="0.25">
      <c r="A25">
        <v>8.15</v>
      </c>
      <c r="B25">
        <f t="shared" si="1"/>
        <v>0.81500000000000006</v>
      </c>
      <c r="C25">
        <v>0.59782999999999997</v>
      </c>
      <c r="D25">
        <f t="shared" si="5"/>
        <v>0.88640000000000196</v>
      </c>
      <c r="F25">
        <v>5.25</v>
      </c>
      <c r="G25">
        <f t="shared" si="0"/>
        <v>0.52500000000000002</v>
      </c>
      <c r="H25">
        <v>0.81269740000000001</v>
      </c>
      <c r="I25">
        <f t="shared" si="2"/>
        <v>1.1118119999999978</v>
      </c>
      <c r="K25">
        <v>8.15</v>
      </c>
      <c r="L25">
        <f t="shared" si="3"/>
        <v>0.81500000000000006</v>
      </c>
      <c r="M25">
        <v>0.60257000000000005</v>
      </c>
      <c r="N25">
        <f t="shared" si="6"/>
        <v>0.86039999999999595</v>
      </c>
      <c r="P25">
        <v>5.25</v>
      </c>
      <c r="Q25">
        <f t="shared" si="4"/>
        <v>0.52500000000000002</v>
      </c>
      <c r="R25">
        <v>0.80017539999999998</v>
      </c>
      <c r="S25">
        <f t="shared" si="7"/>
        <v>0.71334800000000187</v>
      </c>
    </row>
    <row r="26" spans="1:19" x14ac:dyDescent="0.25">
      <c r="A26">
        <v>8.4</v>
      </c>
      <c r="B26">
        <f t="shared" si="1"/>
        <v>0.84000000000000008</v>
      </c>
      <c r="C26">
        <v>0.57533999999999996</v>
      </c>
      <c r="D26">
        <f t="shared" si="5"/>
        <v>0.89959999999999962</v>
      </c>
      <c r="F26">
        <v>5.5</v>
      </c>
      <c r="G26">
        <f t="shared" si="0"/>
        <v>0.55000000000000004</v>
      </c>
      <c r="H26">
        <v>0.79690459999999996</v>
      </c>
      <c r="I26">
        <f t="shared" si="2"/>
        <v>0.63171200000000149</v>
      </c>
      <c r="K26">
        <v>8.4</v>
      </c>
      <c r="L26">
        <f t="shared" si="3"/>
        <v>0.84000000000000008</v>
      </c>
      <c r="M26">
        <v>0.58098000000000005</v>
      </c>
      <c r="N26">
        <f t="shared" si="6"/>
        <v>0.86359999999999915</v>
      </c>
      <c r="P26">
        <v>5.5</v>
      </c>
      <c r="Q26">
        <f t="shared" si="4"/>
        <v>0.55000000000000004</v>
      </c>
      <c r="R26">
        <v>0.78190329999999997</v>
      </c>
      <c r="S26">
        <f t="shared" si="7"/>
        <v>0.73088399999999987</v>
      </c>
    </row>
    <row r="27" spans="1:19" x14ac:dyDescent="0.25">
      <c r="A27">
        <v>8.65</v>
      </c>
      <c r="B27">
        <f t="shared" si="1"/>
        <v>0.86499999999999999</v>
      </c>
      <c r="C27">
        <v>0.55220000000000002</v>
      </c>
      <c r="D27">
        <f t="shared" si="5"/>
        <v>0.92560000000000087</v>
      </c>
      <c r="F27">
        <v>5.75</v>
      </c>
      <c r="G27">
        <f t="shared" si="0"/>
        <v>0.57499999999999996</v>
      </c>
      <c r="H27">
        <v>0.78126969999999996</v>
      </c>
      <c r="I27">
        <f t="shared" si="2"/>
        <v>0.62539600000000251</v>
      </c>
      <c r="K27">
        <v>8.65</v>
      </c>
      <c r="L27">
        <f t="shared" si="3"/>
        <v>0.86499999999999999</v>
      </c>
      <c r="M27">
        <v>0.55927000000000004</v>
      </c>
      <c r="N27">
        <f t="shared" si="6"/>
        <v>0.86840000000000339</v>
      </c>
      <c r="P27">
        <v>5.75</v>
      </c>
      <c r="Q27">
        <f t="shared" si="4"/>
        <v>0.57499999999999996</v>
      </c>
      <c r="R27">
        <v>0.76450810000000002</v>
      </c>
      <c r="S27">
        <f t="shared" si="7"/>
        <v>0.6958080000000002</v>
      </c>
    </row>
    <row r="28" spans="1:19" x14ac:dyDescent="0.25">
      <c r="A28">
        <v>8.9</v>
      </c>
      <c r="B28">
        <f t="shared" si="1"/>
        <v>0.89</v>
      </c>
      <c r="C28">
        <v>0.53008999999999995</v>
      </c>
      <c r="D28">
        <f t="shared" si="5"/>
        <v>0.88440000000000218</v>
      </c>
      <c r="F28">
        <v>6</v>
      </c>
      <c r="G28">
        <f t="shared" si="0"/>
        <v>0.6</v>
      </c>
      <c r="H28">
        <v>0.76626649999999996</v>
      </c>
      <c r="I28">
        <f t="shared" si="2"/>
        <v>0.60012799999999922</v>
      </c>
      <c r="K28">
        <v>8.9</v>
      </c>
      <c r="L28">
        <f t="shared" si="3"/>
        <v>0.89</v>
      </c>
      <c r="M28">
        <v>0.53774999999999995</v>
      </c>
      <c r="N28">
        <f t="shared" si="6"/>
        <v>0.86080000000000301</v>
      </c>
      <c r="P28">
        <v>6</v>
      </c>
      <c r="Q28">
        <f t="shared" si="4"/>
        <v>0.6</v>
      </c>
      <c r="R28">
        <v>0.74828240000000001</v>
      </c>
      <c r="S28">
        <f t="shared" si="7"/>
        <v>0.64902799999999983</v>
      </c>
    </row>
    <row r="29" spans="1:19" x14ac:dyDescent="0.25">
      <c r="A29">
        <v>9.15</v>
      </c>
      <c r="B29">
        <f t="shared" si="1"/>
        <v>0.91500000000000004</v>
      </c>
      <c r="C29">
        <v>0.50912999999999997</v>
      </c>
      <c r="D29">
        <f t="shared" si="5"/>
        <v>0.83839999999999837</v>
      </c>
      <c r="F29">
        <v>6.25</v>
      </c>
      <c r="G29">
        <f t="shared" si="0"/>
        <v>0.625</v>
      </c>
      <c r="H29">
        <v>0.74905239999999995</v>
      </c>
      <c r="I29">
        <f t="shared" si="2"/>
        <v>0.68856399999999973</v>
      </c>
      <c r="K29">
        <v>9.15</v>
      </c>
      <c r="L29">
        <f t="shared" si="3"/>
        <v>0.91500000000000004</v>
      </c>
      <c r="M29">
        <v>0.51641000000000004</v>
      </c>
      <c r="N29">
        <f t="shared" si="6"/>
        <v>0.85359999999999581</v>
      </c>
      <c r="P29">
        <v>6.25</v>
      </c>
      <c r="Q29">
        <f t="shared" si="4"/>
        <v>0.625</v>
      </c>
      <c r="R29">
        <v>0.72913320000000004</v>
      </c>
      <c r="S29">
        <f t="shared" si="7"/>
        <v>0.76596799999999843</v>
      </c>
    </row>
    <row r="30" spans="1:19" x14ac:dyDescent="0.25">
      <c r="A30">
        <v>9.4</v>
      </c>
      <c r="B30">
        <f t="shared" si="1"/>
        <v>0.94000000000000006</v>
      </c>
      <c r="C30">
        <v>0.48691000000000001</v>
      </c>
      <c r="D30">
        <f t="shared" si="5"/>
        <v>0.8887999999999977</v>
      </c>
      <c r="F30">
        <v>6.5</v>
      </c>
      <c r="G30">
        <f t="shared" si="0"/>
        <v>0.65</v>
      </c>
      <c r="H30">
        <v>0.72915350000000001</v>
      </c>
      <c r="I30">
        <f t="shared" si="2"/>
        <v>0.795955999999997</v>
      </c>
      <c r="K30">
        <v>9.4</v>
      </c>
      <c r="L30">
        <f t="shared" si="3"/>
        <v>0.94000000000000006</v>
      </c>
      <c r="M30">
        <v>0.49553999999999998</v>
      </c>
      <c r="N30">
        <f t="shared" si="6"/>
        <v>0.83480000000000143</v>
      </c>
      <c r="P30">
        <v>6.5</v>
      </c>
      <c r="Q30">
        <f t="shared" si="4"/>
        <v>0.65</v>
      </c>
      <c r="R30">
        <v>0.70939920000000001</v>
      </c>
      <c r="S30">
        <f t="shared" si="7"/>
        <v>0.78936000000000051</v>
      </c>
    </row>
    <row r="31" spans="1:19" x14ac:dyDescent="0.25">
      <c r="A31">
        <v>9.65</v>
      </c>
      <c r="B31">
        <f t="shared" si="1"/>
        <v>0.96500000000000008</v>
      </c>
      <c r="C31">
        <v>0.46562999999999999</v>
      </c>
      <c r="D31">
        <f t="shared" si="5"/>
        <v>0.85120000000000007</v>
      </c>
      <c r="F31">
        <v>6.75</v>
      </c>
      <c r="G31">
        <f t="shared" si="0"/>
        <v>0.67500000000000004</v>
      </c>
      <c r="H31">
        <v>0.7068856</v>
      </c>
      <c r="I31">
        <f t="shared" si="2"/>
        <v>0.89071599999999951</v>
      </c>
      <c r="K31">
        <v>9.65</v>
      </c>
      <c r="L31">
        <f t="shared" si="3"/>
        <v>0.96500000000000008</v>
      </c>
      <c r="M31">
        <v>0.47427999999999998</v>
      </c>
      <c r="N31">
        <f t="shared" si="6"/>
        <v>0.85039999999999927</v>
      </c>
      <c r="P31">
        <v>6.75</v>
      </c>
      <c r="Q31">
        <f t="shared" si="4"/>
        <v>0.67500000000000004</v>
      </c>
      <c r="R31">
        <v>0.69054230000000005</v>
      </c>
      <c r="S31">
        <f t="shared" si="7"/>
        <v>0.7542759999999975</v>
      </c>
    </row>
    <row r="32" spans="1:19" x14ac:dyDescent="0.25">
      <c r="A32">
        <v>9.9</v>
      </c>
      <c r="B32">
        <f t="shared" si="1"/>
        <v>0.99</v>
      </c>
      <c r="C32">
        <v>0.44438</v>
      </c>
      <c r="D32">
        <f t="shared" si="5"/>
        <v>0.85000000000000264</v>
      </c>
      <c r="F32">
        <v>7</v>
      </c>
      <c r="G32">
        <f t="shared" si="0"/>
        <v>0.7</v>
      </c>
      <c r="H32">
        <v>0.68856600000000001</v>
      </c>
      <c r="I32">
        <f t="shared" si="2"/>
        <v>0.73278400000000221</v>
      </c>
      <c r="K32">
        <v>9.9</v>
      </c>
      <c r="L32">
        <f t="shared" si="3"/>
        <v>0.99</v>
      </c>
      <c r="M32">
        <v>0.45373999999999998</v>
      </c>
      <c r="N32">
        <f t="shared" si="6"/>
        <v>0.82160000000000299</v>
      </c>
      <c r="P32">
        <v>7</v>
      </c>
      <c r="Q32">
        <f t="shared" si="4"/>
        <v>0.7</v>
      </c>
      <c r="R32">
        <v>0.67183159999999997</v>
      </c>
      <c r="S32">
        <f t="shared" si="7"/>
        <v>0.74842800000000587</v>
      </c>
    </row>
    <row r="33" spans="1:19" x14ac:dyDescent="0.25">
      <c r="A33">
        <v>10.15</v>
      </c>
      <c r="B33">
        <f t="shared" si="1"/>
        <v>1.0150000000000001</v>
      </c>
      <c r="C33">
        <v>0.42377999999999999</v>
      </c>
      <c r="D33">
        <f t="shared" si="5"/>
        <v>0.82399999999999585</v>
      </c>
      <c r="F33">
        <v>7.25</v>
      </c>
      <c r="G33">
        <f t="shared" si="0"/>
        <v>0.72499999999999998</v>
      </c>
      <c r="H33" s="1">
        <v>0.67103599999999997</v>
      </c>
      <c r="I33">
        <f t="shared" si="2"/>
        <v>0.70120000000000116</v>
      </c>
      <c r="K33">
        <v>10.15</v>
      </c>
      <c r="L33">
        <f t="shared" si="3"/>
        <v>1.0150000000000001</v>
      </c>
      <c r="M33">
        <v>0.43370999999999998</v>
      </c>
      <c r="N33">
        <f t="shared" si="6"/>
        <v>0.80119999999999547</v>
      </c>
      <c r="P33">
        <v>7.25</v>
      </c>
      <c r="Q33">
        <f t="shared" si="4"/>
        <v>0.72499999999999998</v>
      </c>
      <c r="R33" s="1">
        <v>0.6579448</v>
      </c>
      <c r="S33">
        <f t="shared" si="7"/>
        <v>0.55547199999999863</v>
      </c>
    </row>
    <row r="34" spans="1:19" x14ac:dyDescent="0.25">
      <c r="A34">
        <v>10.4</v>
      </c>
      <c r="B34">
        <f t="shared" si="1"/>
        <v>1.04</v>
      </c>
      <c r="C34">
        <v>0.40337000000000001</v>
      </c>
      <c r="D34">
        <f t="shared" si="5"/>
        <v>0.81640000000000224</v>
      </c>
      <c r="F34">
        <v>7.5</v>
      </c>
      <c r="G34">
        <f t="shared" si="0"/>
        <v>0.75</v>
      </c>
      <c r="H34" s="1">
        <v>0.65034740000000002</v>
      </c>
      <c r="I34">
        <f t="shared" si="2"/>
        <v>0.82754399999999706</v>
      </c>
      <c r="K34">
        <v>10.4</v>
      </c>
      <c r="L34">
        <f t="shared" si="3"/>
        <v>1.04</v>
      </c>
      <c r="M34">
        <v>0.41336000000000001</v>
      </c>
      <c r="N34">
        <f t="shared" si="6"/>
        <v>0.81400000000000206</v>
      </c>
      <c r="P34">
        <v>7.5</v>
      </c>
      <c r="Q34">
        <f t="shared" si="4"/>
        <v>0.75</v>
      </c>
      <c r="R34" s="1">
        <v>0.63499490000000003</v>
      </c>
      <c r="S34">
        <f t="shared" si="7"/>
        <v>0.91799599999999792</v>
      </c>
    </row>
    <row r="35" spans="1:19" x14ac:dyDescent="0.25">
      <c r="A35">
        <v>10.65</v>
      </c>
      <c r="B35">
        <f t="shared" si="1"/>
        <v>1.0649999999999999</v>
      </c>
      <c r="C35">
        <v>0.38228000000000001</v>
      </c>
      <c r="D35">
        <f t="shared" si="5"/>
        <v>0.8436000000000029</v>
      </c>
      <c r="F35">
        <v>7.75</v>
      </c>
      <c r="G35">
        <f t="shared" si="0"/>
        <v>0.77500000000000002</v>
      </c>
      <c r="H35" s="1">
        <v>0.62460519999999997</v>
      </c>
      <c r="I35">
        <f t="shared" si="2"/>
        <v>1.029688000000001</v>
      </c>
      <c r="K35">
        <v>10.65</v>
      </c>
      <c r="L35">
        <f t="shared" si="3"/>
        <v>1.0649999999999999</v>
      </c>
      <c r="M35">
        <v>0.39308999999999999</v>
      </c>
      <c r="N35">
        <f t="shared" si="6"/>
        <v>0.8108000000000033</v>
      </c>
      <c r="P35">
        <v>7.75</v>
      </c>
      <c r="Q35">
        <f t="shared" si="4"/>
        <v>0.77500000000000002</v>
      </c>
      <c r="R35" s="1">
        <v>0.61438389999999998</v>
      </c>
      <c r="S35">
        <f t="shared" si="7"/>
        <v>0.82444000000000106</v>
      </c>
    </row>
    <row r="36" spans="1:19" x14ac:dyDescent="0.25">
      <c r="A36">
        <v>10.9</v>
      </c>
      <c r="B36">
        <f t="shared" si="1"/>
        <v>1.0900000000000001</v>
      </c>
      <c r="C36">
        <v>0.36359999999999998</v>
      </c>
      <c r="D36">
        <f t="shared" si="5"/>
        <v>0.7471999999999972</v>
      </c>
      <c r="F36">
        <v>8</v>
      </c>
      <c r="G36">
        <f t="shared" ref="G36:G67" si="8">F36/10</f>
        <v>0.8</v>
      </c>
      <c r="H36" s="1">
        <v>0.60265310000000005</v>
      </c>
      <c r="I36">
        <f t="shared" si="2"/>
        <v>0.87808399999999598</v>
      </c>
      <c r="K36">
        <v>10.9</v>
      </c>
      <c r="L36">
        <f t="shared" si="3"/>
        <v>1.0900000000000001</v>
      </c>
      <c r="M36">
        <v>0.37356</v>
      </c>
      <c r="N36">
        <f t="shared" si="6"/>
        <v>0.78119999999999556</v>
      </c>
      <c r="P36">
        <v>8</v>
      </c>
      <c r="Q36">
        <f t="shared" si="4"/>
        <v>0.8</v>
      </c>
      <c r="R36" s="1">
        <v>0.59742729999999999</v>
      </c>
      <c r="S36">
        <f t="shared" si="7"/>
        <v>0.67826399999999898</v>
      </c>
    </row>
    <row r="37" spans="1:19" x14ac:dyDescent="0.25">
      <c r="A37">
        <v>11.15</v>
      </c>
      <c r="B37">
        <f t="shared" si="1"/>
        <v>1.115</v>
      </c>
      <c r="C37">
        <v>0.34447</v>
      </c>
      <c r="D37">
        <f t="shared" si="5"/>
        <v>0.76520000000000188</v>
      </c>
      <c r="F37">
        <v>8.25</v>
      </c>
      <c r="G37">
        <f t="shared" si="8"/>
        <v>0.82499999999999996</v>
      </c>
      <c r="H37" s="1">
        <v>0.58859760000000005</v>
      </c>
      <c r="I37">
        <f t="shared" ref="I37:I68" si="9">(H36-H37)/(G37-G36)</f>
        <v>0.56222000000000194</v>
      </c>
      <c r="K37">
        <v>11.15</v>
      </c>
      <c r="L37">
        <f t="shared" si="3"/>
        <v>1.115</v>
      </c>
      <c r="M37">
        <v>0.35509000000000002</v>
      </c>
      <c r="N37">
        <f t="shared" si="6"/>
        <v>0.73880000000000212</v>
      </c>
      <c r="P37">
        <v>8.25</v>
      </c>
      <c r="Q37">
        <f t="shared" si="4"/>
        <v>0.82499999999999996</v>
      </c>
      <c r="R37" s="1">
        <v>0.57871660000000003</v>
      </c>
      <c r="S37">
        <f t="shared" si="7"/>
        <v>0.74842800000000143</v>
      </c>
    </row>
    <row r="38" spans="1:19" x14ac:dyDescent="0.25">
      <c r="A38">
        <v>11.4</v>
      </c>
      <c r="B38">
        <f t="shared" si="1"/>
        <v>1.1400000000000001</v>
      </c>
      <c r="C38">
        <v>0.32571</v>
      </c>
      <c r="D38">
        <f t="shared" si="5"/>
        <v>0.75039999999999596</v>
      </c>
      <c r="F38">
        <v>8.5</v>
      </c>
      <c r="G38">
        <f t="shared" si="8"/>
        <v>0.85</v>
      </c>
      <c r="H38" s="1">
        <v>0.56569800000000003</v>
      </c>
      <c r="I38">
        <f t="shared" si="9"/>
        <v>0.91598400000000002</v>
      </c>
      <c r="K38">
        <v>11.4</v>
      </c>
      <c r="L38">
        <f t="shared" si="3"/>
        <v>1.1400000000000001</v>
      </c>
      <c r="M38">
        <v>0.33677000000000001</v>
      </c>
      <c r="N38">
        <f t="shared" si="6"/>
        <v>0.73279999999999623</v>
      </c>
      <c r="P38">
        <v>8.5</v>
      </c>
      <c r="Q38">
        <f t="shared" si="4"/>
        <v>0.85</v>
      </c>
      <c r="R38" s="1">
        <v>0.56190620000000002</v>
      </c>
      <c r="S38">
        <f t="shared" si="7"/>
        <v>0.67241599999999957</v>
      </c>
    </row>
    <row r="39" spans="1:19" x14ac:dyDescent="0.25">
      <c r="A39">
        <v>11.65</v>
      </c>
      <c r="B39">
        <f t="shared" si="1"/>
        <v>1.165</v>
      </c>
      <c r="C39">
        <v>0.30769999999999997</v>
      </c>
      <c r="D39">
        <f t="shared" si="5"/>
        <v>0.72040000000000359</v>
      </c>
      <c r="F39">
        <v>8.75</v>
      </c>
      <c r="G39">
        <f t="shared" si="8"/>
        <v>0.875</v>
      </c>
      <c r="H39" s="1">
        <v>0.5472205</v>
      </c>
      <c r="I39">
        <f t="shared" si="9"/>
        <v>0.73910000000000076</v>
      </c>
      <c r="K39">
        <v>11.65</v>
      </c>
      <c r="L39">
        <f t="shared" si="3"/>
        <v>1.165</v>
      </c>
      <c r="M39">
        <v>0.31824999999999998</v>
      </c>
      <c r="N39">
        <f t="shared" si="6"/>
        <v>0.74080000000000412</v>
      </c>
      <c r="P39">
        <v>8.75</v>
      </c>
      <c r="Q39">
        <f t="shared" si="4"/>
        <v>0.875</v>
      </c>
      <c r="R39" s="1">
        <v>0.54202600000000001</v>
      </c>
      <c r="S39">
        <f t="shared" si="7"/>
        <v>0.79520799999999991</v>
      </c>
    </row>
    <row r="40" spans="1:19" x14ac:dyDescent="0.25">
      <c r="A40">
        <v>11.9</v>
      </c>
      <c r="B40">
        <f t="shared" si="1"/>
        <v>1.19</v>
      </c>
      <c r="C40">
        <v>0.29013</v>
      </c>
      <c r="D40">
        <f t="shared" si="5"/>
        <v>0.70280000000000142</v>
      </c>
      <c r="F40">
        <v>9</v>
      </c>
      <c r="G40">
        <f t="shared" si="8"/>
        <v>0.9</v>
      </c>
      <c r="H40" s="1">
        <v>0.52984830000000005</v>
      </c>
      <c r="I40">
        <f t="shared" si="9"/>
        <v>0.69488799999999729</v>
      </c>
      <c r="K40">
        <v>11.9</v>
      </c>
      <c r="L40">
        <f t="shared" si="3"/>
        <v>1.19</v>
      </c>
      <c r="M40">
        <v>0.30063000000000001</v>
      </c>
      <c r="N40">
        <f t="shared" si="6"/>
        <v>0.70480000000000131</v>
      </c>
      <c r="P40">
        <v>9</v>
      </c>
      <c r="Q40">
        <f t="shared" si="4"/>
        <v>0.9</v>
      </c>
      <c r="R40" s="1">
        <v>0.5241924</v>
      </c>
      <c r="S40">
        <f t="shared" si="7"/>
        <v>0.71334399999999953</v>
      </c>
    </row>
    <row r="41" spans="1:19" x14ac:dyDescent="0.25">
      <c r="A41">
        <v>12.15</v>
      </c>
      <c r="B41">
        <f t="shared" si="1"/>
        <v>1.2150000000000001</v>
      </c>
      <c r="C41">
        <v>0.27145999999999998</v>
      </c>
      <c r="D41">
        <f t="shared" si="5"/>
        <v>0.7467999999999968</v>
      </c>
      <c r="F41">
        <v>9.25</v>
      </c>
      <c r="G41">
        <f t="shared" si="8"/>
        <v>0.92500000000000004</v>
      </c>
      <c r="H41" s="1">
        <v>0.51295009999999996</v>
      </c>
      <c r="I41">
        <f t="shared" si="9"/>
        <v>0.67592800000000286</v>
      </c>
      <c r="K41">
        <v>12.15</v>
      </c>
      <c r="L41">
        <f t="shared" si="3"/>
        <v>1.2150000000000001</v>
      </c>
      <c r="M41">
        <v>0.28259000000000001</v>
      </c>
      <c r="N41">
        <f t="shared" si="6"/>
        <v>0.72159999999999613</v>
      </c>
      <c r="P41">
        <v>9.25</v>
      </c>
      <c r="Q41">
        <f t="shared" si="4"/>
        <v>0.92500000000000004</v>
      </c>
      <c r="R41" s="1">
        <v>0.50884379999999996</v>
      </c>
      <c r="S41">
        <f t="shared" si="7"/>
        <v>0.61394400000000127</v>
      </c>
    </row>
    <row r="42" spans="1:19" x14ac:dyDescent="0.25">
      <c r="A42">
        <v>12.4</v>
      </c>
      <c r="B42">
        <f t="shared" si="1"/>
        <v>1.24</v>
      </c>
      <c r="C42">
        <v>0.25273000000000001</v>
      </c>
      <c r="D42">
        <f t="shared" si="5"/>
        <v>0.74920000000000142</v>
      </c>
      <c r="F42">
        <v>9.5</v>
      </c>
      <c r="G42">
        <f t="shared" si="8"/>
        <v>0.95</v>
      </c>
      <c r="H42" s="1">
        <v>0.49068220000000001</v>
      </c>
      <c r="I42">
        <f t="shared" si="9"/>
        <v>0.89071600000000128</v>
      </c>
      <c r="K42">
        <v>12.4</v>
      </c>
      <c r="L42">
        <f t="shared" si="3"/>
        <v>1.24</v>
      </c>
      <c r="M42">
        <v>0.26569999999999999</v>
      </c>
      <c r="N42">
        <f t="shared" si="6"/>
        <v>0.67560000000000309</v>
      </c>
      <c r="P42">
        <v>9.5</v>
      </c>
      <c r="Q42">
        <f t="shared" si="4"/>
        <v>0.95</v>
      </c>
      <c r="R42" s="1">
        <v>0.49232569999999998</v>
      </c>
      <c r="S42">
        <f t="shared" si="7"/>
        <v>0.66072400000000153</v>
      </c>
    </row>
    <row r="43" spans="1:19" x14ac:dyDescent="0.25">
      <c r="A43">
        <v>12.65</v>
      </c>
      <c r="B43">
        <f t="shared" si="1"/>
        <v>1.2650000000000001</v>
      </c>
      <c r="C43">
        <v>0.23733000000000001</v>
      </c>
      <c r="D43">
        <f t="shared" si="5"/>
        <v>0.61599999999999655</v>
      </c>
      <c r="F43">
        <v>9.75</v>
      </c>
      <c r="G43">
        <f t="shared" si="8"/>
        <v>0.97499999999999998</v>
      </c>
      <c r="H43" s="1">
        <v>0.46209729999999999</v>
      </c>
      <c r="I43">
        <f t="shared" si="9"/>
        <v>1.1433959999999999</v>
      </c>
      <c r="K43">
        <v>12.65</v>
      </c>
      <c r="L43">
        <f t="shared" si="3"/>
        <v>1.2650000000000001</v>
      </c>
      <c r="M43">
        <v>0.24847</v>
      </c>
      <c r="N43">
        <f t="shared" si="6"/>
        <v>0.68919999999999615</v>
      </c>
      <c r="P43">
        <v>9.75</v>
      </c>
      <c r="Q43">
        <f t="shared" si="4"/>
        <v>0.97499999999999998</v>
      </c>
      <c r="R43" s="1">
        <v>0.47171469999999999</v>
      </c>
      <c r="S43">
        <f t="shared" si="7"/>
        <v>0.82443999999999884</v>
      </c>
    </row>
    <row r="44" spans="1:19" x14ac:dyDescent="0.25">
      <c r="A44">
        <v>12.9</v>
      </c>
      <c r="B44">
        <f t="shared" si="1"/>
        <v>1.29</v>
      </c>
      <c r="C44">
        <v>0.22248999999999999</v>
      </c>
      <c r="D44">
        <f t="shared" si="5"/>
        <v>0.5936000000000029</v>
      </c>
      <c r="F44">
        <v>10</v>
      </c>
      <c r="G44">
        <f t="shared" si="8"/>
        <v>1</v>
      </c>
      <c r="H44" s="1">
        <v>0.44409349999999997</v>
      </c>
      <c r="I44">
        <f t="shared" si="9"/>
        <v>0.7201519999999999</v>
      </c>
      <c r="K44">
        <v>12.9</v>
      </c>
      <c r="L44">
        <f t="shared" si="3"/>
        <v>1.29</v>
      </c>
      <c r="M44">
        <v>0.23300000000000001</v>
      </c>
      <c r="N44">
        <f t="shared" si="6"/>
        <v>0.61880000000000157</v>
      </c>
      <c r="P44">
        <v>10</v>
      </c>
      <c r="Q44">
        <f t="shared" si="4"/>
        <v>1</v>
      </c>
      <c r="R44" s="1">
        <v>0.4511037</v>
      </c>
      <c r="S44">
        <f t="shared" si="7"/>
        <v>0.82443999999999884</v>
      </c>
    </row>
    <row r="45" spans="1:19" x14ac:dyDescent="0.25">
      <c r="A45">
        <v>13.15</v>
      </c>
      <c r="B45">
        <f t="shared" si="1"/>
        <v>1.3149999999999999</v>
      </c>
      <c r="C45">
        <v>0.20765</v>
      </c>
      <c r="D45">
        <f t="shared" si="5"/>
        <v>0.59360000000000179</v>
      </c>
      <c r="F45">
        <v>10.25</v>
      </c>
      <c r="G45">
        <f t="shared" si="8"/>
        <v>1.0249999999999999</v>
      </c>
      <c r="H45" s="1">
        <v>0.42498419999999998</v>
      </c>
      <c r="I45">
        <f t="shared" si="9"/>
        <v>0.76437200000000249</v>
      </c>
      <c r="K45">
        <v>13.15</v>
      </c>
      <c r="L45">
        <f t="shared" si="3"/>
        <v>1.3149999999999999</v>
      </c>
      <c r="M45">
        <v>0.21914</v>
      </c>
      <c r="N45">
        <f t="shared" si="6"/>
        <v>0.55440000000000245</v>
      </c>
      <c r="P45">
        <v>10.25</v>
      </c>
      <c r="Q45">
        <f t="shared" si="4"/>
        <v>1.0249999999999999</v>
      </c>
      <c r="R45" s="1">
        <v>0.43122349999999998</v>
      </c>
      <c r="S45">
        <f t="shared" si="7"/>
        <v>0.79520800000000336</v>
      </c>
    </row>
    <row r="46" spans="1:19" x14ac:dyDescent="0.25">
      <c r="A46">
        <v>13.4</v>
      </c>
      <c r="B46">
        <f t="shared" si="1"/>
        <v>1.34</v>
      </c>
      <c r="C46">
        <v>0.19286</v>
      </c>
      <c r="D46">
        <f t="shared" si="5"/>
        <v>0.5915999999999968</v>
      </c>
      <c r="F46">
        <v>10.5</v>
      </c>
      <c r="G46">
        <f t="shared" si="8"/>
        <v>1.05</v>
      </c>
      <c r="H46" s="1">
        <v>0.40334809999999999</v>
      </c>
      <c r="I46">
        <f t="shared" si="9"/>
        <v>0.865443999999995</v>
      </c>
      <c r="K46">
        <v>13.4</v>
      </c>
      <c r="L46">
        <f t="shared" si="3"/>
        <v>1.34</v>
      </c>
      <c r="M46">
        <v>0.20266000000000001</v>
      </c>
      <c r="N46">
        <f t="shared" si="6"/>
        <v>0.65919999999999623</v>
      </c>
      <c r="P46">
        <v>10.5</v>
      </c>
      <c r="Q46">
        <f t="shared" si="4"/>
        <v>1.05</v>
      </c>
      <c r="R46" s="1">
        <v>0.41061249999999999</v>
      </c>
      <c r="S46">
        <f t="shared" si="7"/>
        <v>0.82443999999999518</v>
      </c>
    </row>
    <row r="47" spans="1:19" x14ac:dyDescent="0.25">
      <c r="A47">
        <v>13.65</v>
      </c>
      <c r="B47">
        <f t="shared" si="1"/>
        <v>1.365</v>
      </c>
      <c r="C47">
        <v>0.17979999999999999</v>
      </c>
      <c r="D47">
        <f t="shared" si="5"/>
        <v>0.52240000000000253</v>
      </c>
      <c r="F47">
        <v>10.75</v>
      </c>
      <c r="G47">
        <f t="shared" si="8"/>
        <v>1.075</v>
      </c>
      <c r="H47" s="1">
        <v>0.37729000000000001</v>
      </c>
      <c r="I47">
        <f t="shared" si="9"/>
        <v>1.0423240000000027</v>
      </c>
      <c r="K47">
        <v>13.65</v>
      </c>
      <c r="L47">
        <f t="shared" si="3"/>
        <v>1.365</v>
      </c>
      <c r="M47">
        <v>0.18829000000000001</v>
      </c>
      <c r="N47">
        <f t="shared" si="6"/>
        <v>0.57480000000000175</v>
      </c>
      <c r="P47">
        <v>10.75</v>
      </c>
      <c r="Q47">
        <f t="shared" si="4"/>
        <v>1.075</v>
      </c>
      <c r="R47" s="1">
        <v>0.38517760000000001</v>
      </c>
      <c r="S47">
        <f t="shared" si="7"/>
        <v>1.0173960000000029</v>
      </c>
    </row>
    <row r="48" spans="1:19" x14ac:dyDescent="0.25">
      <c r="A48">
        <v>13.9</v>
      </c>
      <c r="B48">
        <f t="shared" si="1"/>
        <v>1.3900000000000001</v>
      </c>
      <c r="C48">
        <v>0.16800000000000001</v>
      </c>
      <c r="D48">
        <f t="shared" si="5"/>
        <v>0.47199999999999659</v>
      </c>
      <c r="F48">
        <v>11</v>
      </c>
      <c r="G48">
        <f t="shared" si="8"/>
        <v>1.1000000000000001</v>
      </c>
      <c r="H48" s="1">
        <v>0.35833860000000001</v>
      </c>
      <c r="I48">
        <f t="shared" si="9"/>
        <v>0.75805599999999629</v>
      </c>
      <c r="K48">
        <v>13.9</v>
      </c>
      <c r="L48">
        <f t="shared" si="3"/>
        <v>1.3900000000000001</v>
      </c>
      <c r="M48">
        <v>0.17613999999999999</v>
      </c>
      <c r="N48">
        <f t="shared" si="6"/>
        <v>0.48599999999999827</v>
      </c>
      <c r="P48">
        <v>11</v>
      </c>
      <c r="Q48">
        <f t="shared" si="4"/>
        <v>1.1000000000000001</v>
      </c>
      <c r="R48" s="1">
        <v>0.36252010000000001</v>
      </c>
      <c r="S48">
        <f t="shared" si="7"/>
        <v>0.906299999999995</v>
      </c>
    </row>
    <row r="49" spans="1:19" x14ac:dyDescent="0.25">
      <c r="A49">
        <v>14.15</v>
      </c>
      <c r="B49">
        <f t="shared" si="1"/>
        <v>1.415</v>
      </c>
      <c r="C49">
        <v>0.15620999999999999</v>
      </c>
      <c r="D49">
        <f t="shared" si="5"/>
        <v>0.47160000000000257</v>
      </c>
      <c r="F49">
        <v>11.25</v>
      </c>
      <c r="G49">
        <f t="shared" si="8"/>
        <v>1.125</v>
      </c>
      <c r="H49" s="1">
        <v>0.3385976</v>
      </c>
      <c r="I49">
        <f t="shared" si="9"/>
        <v>0.78964000000000312</v>
      </c>
      <c r="K49">
        <v>14.15</v>
      </c>
      <c r="L49">
        <f t="shared" si="3"/>
        <v>1.415</v>
      </c>
      <c r="M49">
        <v>0.16466</v>
      </c>
      <c r="N49">
        <f t="shared" si="6"/>
        <v>0.45920000000000122</v>
      </c>
      <c r="P49">
        <v>11.25</v>
      </c>
      <c r="Q49">
        <f t="shared" si="4"/>
        <v>1.125</v>
      </c>
      <c r="R49" s="1">
        <v>0.3462944</v>
      </c>
      <c r="S49">
        <f t="shared" si="7"/>
        <v>0.64902800000000271</v>
      </c>
    </row>
    <row r="50" spans="1:19" x14ac:dyDescent="0.25">
      <c r="A50">
        <v>14.4</v>
      </c>
      <c r="B50">
        <f t="shared" si="1"/>
        <v>1.44</v>
      </c>
      <c r="C50">
        <v>0.14399999999999999</v>
      </c>
      <c r="D50">
        <f t="shared" si="5"/>
        <v>0.48840000000000167</v>
      </c>
      <c r="F50">
        <v>11.5</v>
      </c>
      <c r="G50">
        <f t="shared" si="8"/>
        <v>1.1499999999999999</v>
      </c>
      <c r="H50" s="1">
        <v>0.3212255</v>
      </c>
      <c r="I50">
        <f t="shared" si="9"/>
        <v>0.6948840000000025</v>
      </c>
      <c r="K50">
        <v>14.4</v>
      </c>
      <c r="L50">
        <f t="shared" si="3"/>
        <v>1.44</v>
      </c>
      <c r="M50">
        <v>0.15334</v>
      </c>
      <c r="N50">
        <f t="shared" si="6"/>
        <v>0.45280000000000148</v>
      </c>
      <c r="P50">
        <v>11.5</v>
      </c>
      <c r="Q50">
        <f t="shared" si="4"/>
        <v>1.1499999999999999</v>
      </c>
      <c r="R50" s="1">
        <v>0.33006869999999999</v>
      </c>
      <c r="S50">
        <f t="shared" si="7"/>
        <v>0.64902800000000271</v>
      </c>
    </row>
    <row r="51" spans="1:19" x14ac:dyDescent="0.25">
      <c r="A51">
        <v>14.65</v>
      </c>
      <c r="B51">
        <f t="shared" si="1"/>
        <v>1.4650000000000001</v>
      </c>
      <c r="C51">
        <v>0.13511999999999999</v>
      </c>
      <c r="D51">
        <f t="shared" si="5"/>
        <v>0.35519999999999807</v>
      </c>
      <c r="F51">
        <v>11.75</v>
      </c>
      <c r="G51">
        <f t="shared" si="8"/>
        <v>1.175</v>
      </c>
      <c r="H51" s="1">
        <v>0.29927350000000003</v>
      </c>
      <c r="I51">
        <f t="shared" si="9"/>
        <v>0.8780799999999942</v>
      </c>
      <c r="K51">
        <v>14.65</v>
      </c>
      <c r="L51">
        <f t="shared" si="3"/>
        <v>1.4650000000000001</v>
      </c>
      <c r="M51">
        <v>0.14138000000000001</v>
      </c>
      <c r="N51">
        <f t="shared" si="6"/>
        <v>0.47839999999999738</v>
      </c>
      <c r="P51">
        <v>11.75</v>
      </c>
      <c r="Q51">
        <f t="shared" si="4"/>
        <v>1.175</v>
      </c>
      <c r="R51" s="1">
        <v>0.31398920000000002</v>
      </c>
      <c r="S51">
        <f t="shared" si="7"/>
        <v>0.64317999999999531</v>
      </c>
    </row>
    <row r="52" spans="1:19" x14ac:dyDescent="0.25">
      <c r="A52">
        <v>14.9</v>
      </c>
      <c r="B52">
        <f t="shared" si="1"/>
        <v>1.49</v>
      </c>
      <c r="C52">
        <v>0.12418999999999999</v>
      </c>
      <c r="D52">
        <f t="shared" si="5"/>
        <v>0.43720000000000137</v>
      </c>
      <c r="F52">
        <v>12</v>
      </c>
      <c r="G52">
        <f t="shared" si="8"/>
        <v>1.2</v>
      </c>
      <c r="H52" s="1">
        <v>0.28600759999999997</v>
      </c>
      <c r="I52">
        <f t="shared" si="9"/>
        <v>0.53063600000000399</v>
      </c>
      <c r="K52">
        <v>14.9</v>
      </c>
      <c r="L52">
        <f t="shared" si="3"/>
        <v>1.49</v>
      </c>
      <c r="M52">
        <v>0.13194</v>
      </c>
      <c r="N52">
        <f t="shared" si="6"/>
        <v>0.37760000000000149</v>
      </c>
      <c r="P52">
        <v>12</v>
      </c>
      <c r="Q52">
        <f t="shared" si="4"/>
        <v>1.2</v>
      </c>
      <c r="R52" s="1">
        <v>0.30024849999999997</v>
      </c>
      <c r="S52">
        <f t="shared" si="7"/>
        <v>0.549628000000004</v>
      </c>
    </row>
    <row r="53" spans="1:19" x14ac:dyDescent="0.25">
      <c r="A53">
        <v>15.15</v>
      </c>
      <c r="B53">
        <f t="shared" si="1"/>
        <v>1.5150000000000001</v>
      </c>
      <c r="C53">
        <v>0.11550000000000001</v>
      </c>
      <c r="D53">
        <f t="shared" si="5"/>
        <v>0.34759999999999774</v>
      </c>
      <c r="F53">
        <v>12.25</v>
      </c>
      <c r="G53">
        <f t="shared" si="8"/>
        <v>1.2250000000000001</v>
      </c>
      <c r="H53" s="1">
        <v>0.27463670000000001</v>
      </c>
      <c r="I53">
        <f t="shared" si="9"/>
        <v>0.45483599999999602</v>
      </c>
      <c r="K53">
        <v>15.15</v>
      </c>
      <c r="L53">
        <f t="shared" si="3"/>
        <v>1.5150000000000001</v>
      </c>
      <c r="M53">
        <v>0.12200999999999999</v>
      </c>
      <c r="N53">
        <f t="shared" si="6"/>
        <v>0.39719999999999822</v>
      </c>
      <c r="P53">
        <v>12.25</v>
      </c>
      <c r="Q53">
        <f t="shared" si="4"/>
        <v>1.2250000000000001</v>
      </c>
      <c r="R53" s="1">
        <v>0.28548459999999998</v>
      </c>
      <c r="S53">
        <f t="shared" si="7"/>
        <v>0.59055599999999675</v>
      </c>
    </row>
    <row r="54" spans="1:19" x14ac:dyDescent="0.25">
      <c r="A54">
        <v>15.4</v>
      </c>
      <c r="B54">
        <f t="shared" si="1"/>
        <v>1.54</v>
      </c>
      <c r="C54">
        <v>0.10788</v>
      </c>
      <c r="D54">
        <f t="shared" si="5"/>
        <v>0.30480000000000118</v>
      </c>
      <c r="F54">
        <v>12.5</v>
      </c>
      <c r="G54">
        <f t="shared" si="8"/>
        <v>1.25</v>
      </c>
      <c r="H54" s="1">
        <v>0.25758049999999999</v>
      </c>
      <c r="I54">
        <f t="shared" si="9"/>
        <v>0.6822480000000033</v>
      </c>
      <c r="K54">
        <v>15.4</v>
      </c>
      <c r="L54">
        <f t="shared" si="3"/>
        <v>1.54</v>
      </c>
      <c r="M54">
        <v>0.11409999999999999</v>
      </c>
      <c r="N54">
        <f t="shared" si="6"/>
        <v>0.31640000000000112</v>
      </c>
      <c r="P54">
        <v>12.5</v>
      </c>
      <c r="Q54">
        <f t="shared" si="4"/>
        <v>1.25</v>
      </c>
      <c r="R54" s="1">
        <v>0.27189010000000002</v>
      </c>
      <c r="S54">
        <f t="shared" si="7"/>
        <v>0.54378000000000004</v>
      </c>
    </row>
    <row r="55" spans="1:19" x14ac:dyDescent="0.25">
      <c r="A55">
        <v>15.65</v>
      </c>
      <c r="B55">
        <f t="shared" si="1"/>
        <v>1.5649999999999999</v>
      </c>
      <c r="C55">
        <v>9.9580000000000002E-2</v>
      </c>
      <c r="D55">
        <f t="shared" si="5"/>
        <v>0.33200000000000124</v>
      </c>
      <c r="F55">
        <v>12.75</v>
      </c>
      <c r="G55">
        <f t="shared" si="8"/>
        <v>1.2749999999999999</v>
      </c>
      <c r="H55" s="1">
        <v>0.24194570000000001</v>
      </c>
      <c r="I55">
        <f t="shared" si="9"/>
        <v>0.62539200000000128</v>
      </c>
      <c r="K55">
        <v>15.65</v>
      </c>
      <c r="L55">
        <f t="shared" si="3"/>
        <v>1.5649999999999999</v>
      </c>
      <c r="M55">
        <v>0.10564</v>
      </c>
      <c r="N55">
        <f t="shared" si="6"/>
        <v>0.33840000000000103</v>
      </c>
      <c r="P55">
        <v>12.75</v>
      </c>
      <c r="Q55">
        <f t="shared" si="4"/>
        <v>1.2749999999999999</v>
      </c>
      <c r="R55" s="1">
        <v>0.25303320000000001</v>
      </c>
      <c r="S55">
        <f t="shared" si="7"/>
        <v>0.75427600000000306</v>
      </c>
    </row>
    <row r="56" spans="1:19" x14ac:dyDescent="0.25">
      <c r="A56">
        <v>15.9</v>
      </c>
      <c r="B56">
        <f t="shared" si="1"/>
        <v>1.59</v>
      </c>
      <c r="C56">
        <v>9.0980000000000005E-2</v>
      </c>
      <c r="D56">
        <f t="shared" si="5"/>
        <v>0.34399999999999803</v>
      </c>
      <c r="F56">
        <v>13</v>
      </c>
      <c r="G56">
        <f t="shared" si="8"/>
        <v>1.3</v>
      </c>
      <c r="H56" s="1">
        <v>0.2226785</v>
      </c>
      <c r="I56">
        <f t="shared" si="9"/>
        <v>0.77068799999999638</v>
      </c>
      <c r="K56">
        <v>15.9</v>
      </c>
      <c r="L56">
        <f t="shared" si="3"/>
        <v>1.59</v>
      </c>
      <c r="M56">
        <v>9.8830000000000001E-2</v>
      </c>
      <c r="N56">
        <f t="shared" si="6"/>
        <v>0.27239999999999842</v>
      </c>
      <c r="P56">
        <v>13</v>
      </c>
      <c r="Q56">
        <f t="shared" si="4"/>
        <v>1.3</v>
      </c>
      <c r="R56" s="1">
        <v>0.2387078</v>
      </c>
      <c r="S56">
        <f t="shared" si="7"/>
        <v>0.57301599999999753</v>
      </c>
    </row>
    <row r="57" spans="1:19" x14ac:dyDescent="0.25">
      <c r="A57">
        <v>16.149999999999999</v>
      </c>
      <c r="B57">
        <f t="shared" si="1"/>
        <v>1.6149999999999998</v>
      </c>
      <c r="C57">
        <v>8.4669999999999995E-2</v>
      </c>
      <c r="D57">
        <f t="shared" si="5"/>
        <v>0.25240000000000357</v>
      </c>
      <c r="F57">
        <v>13.25</v>
      </c>
      <c r="G57">
        <f t="shared" si="8"/>
        <v>1.325</v>
      </c>
      <c r="H57" s="1">
        <v>0.2119393</v>
      </c>
      <c r="I57">
        <f t="shared" si="9"/>
        <v>0.42956800000000167</v>
      </c>
      <c r="K57">
        <v>16.149999999999999</v>
      </c>
      <c r="L57">
        <f t="shared" si="3"/>
        <v>1.6149999999999998</v>
      </c>
      <c r="M57">
        <v>9.1340000000000005E-2</v>
      </c>
      <c r="N57">
        <f t="shared" si="6"/>
        <v>0.29960000000000359</v>
      </c>
      <c r="P57">
        <v>13.25</v>
      </c>
      <c r="Q57">
        <f t="shared" si="4"/>
        <v>1.325</v>
      </c>
      <c r="R57" s="1">
        <v>0.22014329999999999</v>
      </c>
      <c r="S57">
        <f t="shared" si="7"/>
        <v>0.74258000000000313</v>
      </c>
    </row>
    <row r="58" spans="1:19" x14ac:dyDescent="0.25">
      <c r="A58">
        <v>16.399999999999999</v>
      </c>
      <c r="B58">
        <f t="shared" si="1"/>
        <v>1.64</v>
      </c>
      <c r="C58">
        <v>7.6259999999999994E-2</v>
      </c>
      <c r="D58">
        <f t="shared" si="5"/>
        <v>0.33639999999999826</v>
      </c>
      <c r="F58">
        <v>13.5</v>
      </c>
      <c r="G58">
        <f t="shared" si="8"/>
        <v>1.35</v>
      </c>
      <c r="H58" s="1">
        <v>0.19014529999999999</v>
      </c>
      <c r="I58">
        <f t="shared" si="9"/>
        <v>0.87175999999999565</v>
      </c>
      <c r="K58">
        <v>16.399999999999999</v>
      </c>
      <c r="L58">
        <f t="shared" si="3"/>
        <v>1.64</v>
      </c>
      <c r="M58">
        <v>8.3629999999999996E-2</v>
      </c>
      <c r="N58">
        <f t="shared" si="6"/>
        <v>0.30839999999999868</v>
      </c>
      <c r="P58">
        <v>13.5</v>
      </c>
      <c r="Q58">
        <f t="shared" si="4"/>
        <v>1.35</v>
      </c>
      <c r="R58" s="1">
        <v>0.20801049999999999</v>
      </c>
      <c r="S58">
        <f t="shared" si="7"/>
        <v>0.48531199999999736</v>
      </c>
    </row>
    <row r="59" spans="1:19" x14ac:dyDescent="0.25">
      <c r="A59">
        <v>16.649999999999999</v>
      </c>
      <c r="B59">
        <f t="shared" si="1"/>
        <v>1.6649999999999998</v>
      </c>
      <c r="C59">
        <v>6.7750000000000005E-2</v>
      </c>
      <c r="D59">
        <f t="shared" si="5"/>
        <v>0.34040000000000081</v>
      </c>
      <c r="F59">
        <v>13.75</v>
      </c>
      <c r="G59">
        <f t="shared" si="8"/>
        <v>1.375</v>
      </c>
      <c r="H59" s="1">
        <v>0.17703730000000001</v>
      </c>
      <c r="I59">
        <f t="shared" si="9"/>
        <v>0.52432000000000112</v>
      </c>
      <c r="K59">
        <v>16.649999999999999</v>
      </c>
      <c r="L59">
        <f t="shared" si="3"/>
        <v>1.6649999999999998</v>
      </c>
      <c r="M59">
        <v>7.6509999999999995E-2</v>
      </c>
      <c r="N59">
        <f t="shared" si="6"/>
        <v>0.28480000000000105</v>
      </c>
      <c r="P59">
        <v>13.75</v>
      </c>
      <c r="Q59">
        <f t="shared" si="4"/>
        <v>1.375</v>
      </c>
      <c r="R59" s="1">
        <v>0.1926619</v>
      </c>
      <c r="S59">
        <f t="shared" si="7"/>
        <v>0.61394400000000182</v>
      </c>
    </row>
    <row r="60" spans="1:19" x14ac:dyDescent="0.25">
      <c r="A60">
        <v>16.899999999999999</v>
      </c>
      <c r="B60">
        <f t="shared" si="1"/>
        <v>1.69</v>
      </c>
      <c r="C60">
        <v>6.021E-2</v>
      </c>
      <c r="D60">
        <f t="shared" si="5"/>
        <v>0.30159999999999859</v>
      </c>
      <c r="F60">
        <v>14</v>
      </c>
      <c r="G60">
        <f t="shared" si="8"/>
        <v>1.4</v>
      </c>
      <c r="H60" s="1">
        <v>0.1672457</v>
      </c>
      <c r="I60">
        <f t="shared" si="9"/>
        <v>0.39166400000000184</v>
      </c>
      <c r="K60">
        <v>16.899999999999999</v>
      </c>
      <c r="L60">
        <f t="shared" si="3"/>
        <v>1.69</v>
      </c>
      <c r="M60">
        <v>6.9159999999999999E-2</v>
      </c>
      <c r="N60">
        <f t="shared" si="6"/>
        <v>0.29399999999999826</v>
      </c>
      <c r="P60">
        <v>14</v>
      </c>
      <c r="Q60">
        <f t="shared" si="4"/>
        <v>1.4</v>
      </c>
      <c r="R60" s="1">
        <v>0.17614379999999999</v>
      </c>
      <c r="S60">
        <f t="shared" si="7"/>
        <v>0.66072400000000264</v>
      </c>
    </row>
    <row r="61" spans="1:19" x14ac:dyDescent="0.25">
      <c r="A61">
        <v>17.149999999999999</v>
      </c>
      <c r="B61">
        <f t="shared" si="1"/>
        <v>1.7149999999999999</v>
      </c>
      <c r="C61">
        <v>5.4120000000000001E-2</v>
      </c>
      <c r="D61">
        <f t="shared" si="5"/>
        <v>0.24360000000000079</v>
      </c>
      <c r="F61">
        <v>14.25</v>
      </c>
      <c r="G61">
        <f t="shared" si="8"/>
        <v>1.425</v>
      </c>
      <c r="H61" s="1">
        <v>0.15161089999999999</v>
      </c>
      <c r="I61">
        <f t="shared" si="9"/>
        <v>0.62539199999999684</v>
      </c>
      <c r="K61">
        <v>17.149999999999999</v>
      </c>
      <c r="L61">
        <f t="shared" si="3"/>
        <v>1.7149999999999999</v>
      </c>
      <c r="M61">
        <v>6.0749999999999998E-2</v>
      </c>
      <c r="N61">
        <f t="shared" si="6"/>
        <v>0.33640000000000125</v>
      </c>
      <c r="P61">
        <v>14.25</v>
      </c>
      <c r="Q61">
        <f t="shared" si="4"/>
        <v>1.425</v>
      </c>
      <c r="R61" s="1">
        <v>0.16035669999999999</v>
      </c>
      <c r="S61">
        <f t="shared" si="7"/>
        <v>0.6314839999999966</v>
      </c>
    </row>
    <row r="62" spans="1:19" x14ac:dyDescent="0.25">
      <c r="A62">
        <v>17.399999999999999</v>
      </c>
      <c r="B62">
        <f t="shared" si="1"/>
        <v>1.7399999999999998</v>
      </c>
      <c r="C62">
        <v>4.6339999999999999E-2</v>
      </c>
      <c r="D62">
        <f t="shared" si="5"/>
        <v>0.3112000000000012</v>
      </c>
      <c r="F62">
        <v>14.5</v>
      </c>
      <c r="G62">
        <f t="shared" si="8"/>
        <v>1.45</v>
      </c>
      <c r="H62" s="1">
        <v>0.1419773</v>
      </c>
      <c r="I62">
        <f t="shared" si="9"/>
        <v>0.38534400000000107</v>
      </c>
      <c r="K62">
        <v>17.399999999999999</v>
      </c>
      <c r="L62">
        <f t="shared" si="3"/>
        <v>1.7399999999999998</v>
      </c>
      <c r="M62">
        <v>5.4460000000000001E-2</v>
      </c>
      <c r="N62">
        <f t="shared" si="6"/>
        <v>0.25160000000000077</v>
      </c>
      <c r="P62">
        <v>14.5</v>
      </c>
      <c r="Q62">
        <f t="shared" si="4"/>
        <v>1.45</v>
      </c>
      <c r="R62" s="1">
        <v>0.14690839999999999</v>
      </c>
      <c r="S62">
        <f t="shared" si="7"/>
        <v>0.53793200000000174</v>
      </c>
    </row>
    <row r="63" spans="1:19" x14ac:dyDescent="0.25">
      <c r="A63">
        <v>17.649999999999999</v>
      </c>
      <c r="B63">
        <f t="shared" si="1"/>
        <v>1.7649999999999999</v>
      </c>
      <c r="C63">
        <v>3.9129999999999998E-2</v>
      </c>
      <c r="D63">
        <f t="shared" si="5"/>
        <v>0.28839999999999849</v>
      </c>
      <c r="F63">
        <v>14.75</v>
      </c>
      <c r="G63">
        <f t="shared" si="8"/>
        <v>1.4750000000000001</v>
      </c>
      <c r="H63" s="1">
        <v>0.13186990000000001</v>
      </c>
      <c r="I63">
        <f t="shared" si="9"/>
        <v>0.40429599999999738</v>
      </c>
      <c r="K63">
        <v>17.649999999999999</v>
      </c>
      <c r="L63">
        <f t="shared" si="3"/>
        <v>1.7649999999999999</v>
      </c>
      <c r="M63">
        <v>4.6760000000000003E-2</v>
      </c>
      <c r="N63">
        <f t="shared" si="6"/>
        <v>0.30799999999999828</v>
      </c>
      <c r="P63">
        <v>14.75</v>
      </c>
      <c r="Q63">
        <f t="shared" si="4"/>
        <v>1.4750000000000001</v>
      </c>
      <c r="R63" s="1">
        <v>0.1341909</v>
      </c>
      <c r="S63">
        <f t="shared" si="7"/>
        <v>0.50869999999999704</v>
      </c>
    </row>
    <row r="64" spans="1:19" x14ac:dyDescent="0.25">
      <c r="A64">
        <v>17.899999999999999</v>
      </c>
      <c r="B64">
        <f t="shared" si="1"/>
        <v>1.7899999999999998</v>
      </c>
      <c r="C64">
        <v>3.3599999999999998E-2</v>
      </c>
      <c r="D64">
        <f t="shared" si="5"/>
        <v>0.22120000000000078</v>
      </c>
      <c r="F64">
        <v>15</v>
      </c>
      <c r="G64">
        <f t="shared" si="8"/>
        <v>1.5</v>
      </c>
      <c r="H64" s="1">
        <v>0.1179722</v>
      </c>
      <c r="I64">
        <f t="shared" si="9"/>
        <v>0.55590800000000251</v>
      </c>
      <c r="K64">
        <v>17.899999999999999</v>
      </c>
      <c r="L64">
        <f t="shared" si="3"/>
        <v>1.7899999999999998</v>
      </c>
      <c r="M64">
        <v>4.018E-2</v>
      </c>
      <c r="N64">
        <f t="shared" si="6"/>
        <v>0.26320000000000104</v>
      </c>
      <c r="P64">
        <v>15</v>
      </c>
      <c r="Q64">
        <f t="shared" si="4"/>
        <v>1.5</v>
      </c>
      <c r="R64" s="1">
        <v>0.12951319999999999</v>
      </c>
      <c r="S64">
        <f t="shared" si="7"/>
        <v>0.18710800000000094</v>
      </c>
    </row>
    <row r="65" spans="1:19" x14ac:dyDescent="0.25">
      <c r="A65">
        <v>18.149999999999999</v>
      </c>
      <c r="B65">
        <f t="shared" si="1"/>
        <v>1.8149999999999999</v>
      </c>
      <c r="C65">
        <v>2.6270000000000002E-2</v>
      </c>
      <c r="D65">
        <f t="shared" si="5"/>
        <v>0.2931999999999983</v>
      </c>
      <c r="F65">
        <v>15.25</v>
      </c>
      <c r="G65">
        <f t="shared" si="8"/>
        <v>1.5249999999999999</v>
      </c>
      <c r="H65" s="1">
        <v>8.6860388999999996E-2</v>
      </c>
      <c r="I65">
        <f t="shared" si="9"/>
        <v>1.2444724400000045</v>
      </c>
      <c r="K65">
        <v>18.149999999999999</v>
      </c>
      <c r="L65">
        <f t="shared" si="3"/>
        <v>1.8149999999999999</v>
      </c>
      <c r="M65">
        <v>3.3500000000000002E-2</v>
      </c>
      <c r="N65">
        <f t="shared" si="6"/>
        <v>0.26719999999999849</v>
      </c>
      <c r="P65">
        <v>15.25</v>
      </c>
      <c r="Q65">
        <f t="shared" si="4"/>
        <v>1.5249999999999999</v>
      </c>
      <c r="R65" s="1">
        <v>0.1106563</v>
      </c>
      <c r="S65">
        <f t="shared" si="7"/>
        <v>0.7542760000000025</v>
      </c>
    </row>
    <row r="66" spans="1:19" x14ac:dyDescent="0.25">
      <c r="A66">
        <v>18.399999999999999</v>
      </c>
      <c r="B66">
        <f t="shared" si="1"/>
        <v>1.8399999999999999</v>
      </c>
      <c r="C66">
        <v>2.2790000000000001E-2</v>
      </c>
      <c r="D66">
        <f t="shared" si="5"/>
        <v>0.13920000000000052</v>
      </c>
      <c r="F66">
        <v>15.5</v>
      </c>
      <c r="G66">
        <f t="shared" si="8"/>
        <v>1.55</v>
      </c>
      <c r="H66" s="1">
        <v>8.2912191999999996E-2</v>
      </c>
      <c r="I66">
        <f t="shared" si="9"/>
        <v>0.15792787999999919</v>
      </c>
      <c r="K66">
        <v>18.399999999999999</v>
      </c>
      <c r="L66">
        <f t="shared" si="3"/>
        <v>1.8399999999999999</v>
      </c>
      <c r="M66">
        <v>2.9610000000000001E-2</v>
      </c>
      <c r="N66">
        <f t="shared" si="6"/>
        <v>0.1556000000000006</v>
      </c>
      <c r="P66">
        <v>15.5</v>
      </c>
      <c r="Q66">
        <f t="shared" si="4"/>
        <v>1.55</v>
      </c>
      <c r="R66" s="1">
        <v>9.1214739000000003E-2</v>
      </c>
      <c r="S66">
        <f t="shared" si="7"/>
        <v>0.77766243999999574</v>
      </c>
    </row>
    <row r="67" spans="1:19" x14ac:dyDescent="0.25">
      <c r="A67">
        <v>18.649999999999999</v>
      </c>
      <c r="B67">
        <f t="shared" si="1"/>
        <v>1.8649999999999998</v>
      </c>
      <c r="C67">
        <v>1.753E-2</v>
      </c>
      <c r="D67">
        <f t="shared" si="5"/>
        <v>0.21040000000000078</v>
      </c>
      <c r="F67">
        <v>15.75</v>
      </c>
      <c r="G67">
        <f t="shared" si="8"/>
        <v>1.575</v>
      </c>
      <c r="H67" s="1">
        <v>7.9279847000000001E-2</v>
      </c>
      <c r="I67">
        <f t="shared" si="9"/>
        <v>0.14529380000000033</v>
      </c>
      <c r="K67">
        <v>18.649999999999999</v>
      </c>
      <c r="L67">
        <f t="shared" si="3"/>
        <v>1.8649999999999998</v>
      </c>
      <c r="M67">
        <v>2.3480000000000001E-2</v>
      </c>
      <c r="N67">
        <f t="shared" si="6"/>
        <v>0.24520000000000086</v>
      </c>
      <c r="P67">
        <v>15.75</v>
      </c>
      <c r="Q67">
        <f t="shared" si="4"/>
        <v>1.575</v>
      </c>
      <c r="R67" s="1">
        <v>8.0251426000000001E-2</v>
      </c>
      <c r="S67">
        <f t="shared" si="7"/>
        <v>0.43853252000000165</v>
      </c>
    </row>
    <row r="68" spans="1:19" x14ac:dyDescent="0.25">
      <c r="A68">
        <v>18.899999999999999</v>
      </c>
      <c r="B68">
        <f t="shared" si="1"/>
        <v>1.89</v>
      </c>
      <c r="C68">
        <v>1.3129999999999999E-2</v>
      </c>
      <c r="D68">
        <f t="shared" si="5"/>
        <v>0.1759999999999991</v>
      </c>
      <c r="F68">
        <v>16</v>
      </c>
      <c r="G68">
        <f t="shared" ref="G68:G88" si="10">F68/10</f>
        <v>1.6</v>
      </c>
      <c r="H68" s="1">
        <v>7.1067587000000002E-2</v>
      </c>
      <c r="I68">
        <f t="shared" si="9"/>
        <v>0.32849039999999818</v>
      </c>
      <c r="K68">
        <v>18.899999999999999</v>
      </c>
      <c r="L68">
        <f t="shared" si="3"/>
        <v>1.89</v>
      </c>
      <c r="M68">
        <v>1.687E-2</v>
      </c>
      <c r="N68">
        <f t="shared" si="6"/>
        <v>0.26439999999999864</v>
      </c>
      <c r="P68">
        <v>16</v>
      </c>
      <c r="Q68">
        <f t="shared" si="4"/>
        <v>1.6</v>
      </c>
      <c r="R68" s="1">
        <v>7.6596990000000004E-2</v>
      </c>
      <c r="S68">
        <f t="shared" si="7"/>
        <v>0.1461774399999991</v>
      </c>
    </row>
    <row r="69" spans="1:19" x14ac:dyDescent="0.25">
      <c r="A69">
        <v>19.149999999999999</v>
      </c>
      <c r="B69">
        <f t="shared" ref="B69:B77" si="11">A69/10</f>
        <v>1.9149999999999998</v>
      </c>
      <c r="C69">
        <v>8.6700000000000006E-3</v>
      </c>
      <c r="D69">
        <f t="shared" si="5"/>
        <v>0.17840000000000059</v>
      </c>
      <c r="F69">
        <v>16.25</v>
      </c>
      <c r="G69">
        <f t="shared" si="10"/>
        <v>1.625</v>
      </c>
      <c r="H69" s="1">
        <v>6.6329746999999994E-2</v>
      </c>
      <c r="I69">
        <f t="shared" ref="I69:I88" si="12">(H68-H69)/(G69-G68)</f>
        <v>0.18951360000000095</v>
      </c>
      <c r="K69">
        <v>19.149999999999999</v>
      </c>
      <c r="L69">
        <f t="shared" ref="L69:L77" si="13">K69/10</f>
        <v>1.9149999999999998</v>
      </c>
      <c r="M69">
        <v>1.1520000000000001E-2</v>
      </c>
      <c r="N69">
        <f t="shared" si="6"/>
        <v>0.21400000000000072</v>
      </c>
      <c r="P69">
        <v>16.25</v>
      </c>
      <c r="Q69">
        <f t="shared" ref="Q69:Q89" si="14">P69/10</f>
        <v>1.625</v>
      </c>
      <c r="R69" s="1">
        <v>6.8264879000000001E-2</v>
      </c>
      <c r="S69">
        <f t="shared" si="7"/>
        <v>0.33328444000000129</v>
      </c>
    </row>
    <row r="70" spans="1:19" x14ac:dyDescent="0.25">
      <c r="A70">
        <v>19.399999999999999</v>
      </c>
      <c r="B70">
        <f t="shared" si="11"/>
        <v>1.94</v>
      </c>
      <c r="C70">
        <v>5.2399999999999999E-3</v>
      </c>
      <c r="D70">
        <f t="shared" ref="D70:D77" si="15">(C69-C70)/(B70-B69)</f>
        <v>0.13719999999999929</v>
      </c>
      <c r="F70">
        <v>16.5</v>
      </c>
      <c r="G70">
        <f t="shared" si="10"/>
        <v>1.65</v>
      </c>
      <c r="H70" s="1">
        <v>6.3329116000000005E-2</v>
      </c>
      <c r="I70">
        <f t="shared" si="12"/>
        <v>0.12002524000000002</v>
      </c>
      <c r="K70">
        <v>19.399999999999999</v>
      </c>
      <c r="L70">
        <f t="shared" si="13"/>
        <v>1.94</v>
      </c>
      <c r="M70">
        <v>7.26E-3</v>
      </c>
      <c r="N70">
        <f t="shared" ref="N70:N77" si="16">(M69-M70)/(L70-L69)</f>
        <v>0.17039999999999914</v>
      </c>
      <c r="P70">
        <v>16.5</v>
      </c>
      <c r="Q70">
        <f t="shared" si="14"/>
        <v>1.65</v>
      </c>
      <c r="R70" s="1">
        <v>6.5779856999999997E-2</v>
      </c>
      <c r="S70">
        <f t="shared" ref="S70:S89" si="17">(R69-R70)/(Q70-Q69)</f>
        <v>9.9400880000000483E-2</v>
      </c>
    </row>
    <row r="71" spans="1:19" x14ac:dyDescent="0.25">
      <c r="A71">
        <v>19.649999999999999</v>
      </c>
      <c r="B71">
        <f t="shared" si="11"/>
        <v>1.9649999999999999</v>
      </c>
      <c r="C71">
        <v>4.2100000000000002E-3</v>
      </c>
      <c r="D71">
        <f t="shared" si="15"/>
        <v>4.1200000000000132E-2</v>
      </c>
      <c r="F71">
        <v>16.75</v>
      </c>
      <c r="G71">
        <f t="shared" si="10"/>
        <v>1.675</v>
      </c>
      <c r="H71" s="1">
        <v>6.1749838000000001E-2</v>
      </c>
      <c r="I71">
        <f t="shared" si="12"/>
        <v>6.3171119999999803E-2</v>
      </c>
      <c r="K71">
        <v>19.649999999999999</v>
      </c>
      <c r="L71">
        <f t="shared" si="13"/>
        <v>1.9649999999999999</v>
      </c>
      <c r="M71">
        <v>5.9899999999999997E-3</v>
      </c>
      <c r="N71">
        <f t="shared" si="16"/>
        <v>5.0800000000000192E-2</v>
      </c>
      <c r="P71">
        <v>16.75</v>
      </c>
      <c r="Q71">
        <f t="shared" si="14"/>
        <v>1.675</v>
      </c>
      <c r="R71" s="1">
        <v>6.1102181999999998E-2</v>
      </c>
      <c r="S71">
        <f t="shared" si="17"/>
        <v>0.18710699999999897</v>
      </c>
    </row>
    <row r="72" spans="1:19" x14ac:dyDescent="0.25">
      <c r="A72">
        <v>19.899999999999999</v>
      </c>
      <c r="B72">
        <f t="shared" si="11"/>
        <v>1.9899999999999998</v>
      </c>
      <c r="C72">
        <v>2.8700000000000002E-3</v>
      </c>
      <c r="D72">
        <f t="shared" si="15"/>
        <v>5.3600000000000189E-2</v>
      </c>
      <c r="F72">
        <v>17</v>
      </c>
      <c r="G72">
        <f t="shared" si="10"/>
        <v>1.7</v>
      </c>
      <c r="H72" s="1">
        <v>5.0221096999999999E-2</v>
      </c>
      <c r="I72">
        <f t="shared" si="12"/>
        <v>0.46114964000000175</v>
      </c>
      <c r="K72">
        <v>19.899999999999999</v>
      </c>
      <c r="L72">
        <f t="shared" si="13"/>
        <v>1.9899999999999998</v>
      </c>
      <c r="M72">
        <v>5.2399999999999999E-3</v>
      </c>
      <c r="N72">
        <f t="shared" si="16"/>
        <v>3.00000000000001E-2</v>
      </c>
      <c r="P72">
        <v>17</v>
      </c>
      <c r="Q72">
        <f t="shared" si="14"/>
        <v>1.7</v>
      </c>
      <c r="R72" s="1">
        <v>5.7301565999999998E-2</v>
      </c>
      <c r="S72">
        <f t="shared" si="17"/>
        <v>0.15202464000000052</v>
      </c>
    </row>
    <row r="73" spans="1:19" x14ac:dyDescent="0.25">
      <c r="A73">
        <v>20.149999999999999</v>
      </c>
      <c r="B73">
        <f t="shared" si="11"/>
        <v>2.0149999999999997</v>
      </c>
      <c r="C73">
        <v>1.6800000000000001E-3</v>
      </c>
      <c r="D73">
        <f t="shared" si="15"/>
        <v>4.760000000000017E-2</v>
      </c>
      <c r="F73">
        <v>17.25</v>
      </c>
      <c r="G73">
        <f t="shared" si="10"/>
        <v>1.7250000000000001</v>
      </c>
      <c r="H73" s="1">
        <v>4.2798481999999999E-2</v>
      </c>
      <c r="I73">
        <f t="shared" si="12"/>
        <v>0.29690459999999841</v>
      </c>
      <c r="K73">
        <v>20.149999999999999</v>
      </c>
      <c r="L73">
        <f t="shared" si="13"/>
        <v>2.0149999999999997</v>
      </c>
      <c r="M73">
        <v>4.2199999999999998E-3</v>
      </c>
      <c r="N73">
        <f t="shared" si="16"/>
        <v>4.0800000000000149E-2</v>
      </c>
      <c r="P73">
        <v>17.25</v>
      </c>
      <c r="Q73">
        <f t="shared" si="14"/>
        <v>1.7250000000000001</v>
      </c>
      <c r="R73" s="1">
        <v>5.4231841000000003E-2</v>
      </c>
      <c r="S73">
        <f t="shared" si="17"/>
        <v>0.12278899999999916</v>
      </c>
    </row>
    <row r="74" spans="1:19" x14ac:dyDescent="0.25">
      <c r="A74">
        <v>20.399999999999999</v>
      </c>
      <c r="B74">
        <f t="shared" si="11"/>
        <v>2.04</v>
      </c>
      <c r="C74">
        <v>1.2800000000000001E-3</v>
      </c>
      <c r="D74">
        <f t="shared" si="15"/>
        <v>1.5999999999999771E-2</v>
      </c>
      <c r="F74">
        <v>17.5</v>
      </c>
      <c r="G74">
        <f t="shared" si="10"/>
        <v>1.75</v>
      </c>
      <c r="H74" s="1">
        <v>2.7321539999999998E-2</v>
      </c>
      <c r="I74">
        <f t="shared" si="12"/>
        <v>0.61907768000000218</v>
      </c>
      <c r="K74">
        <v>20.399999999999999</v>
      </c>
      <c r="L74">
        <f t="shared" si="13"/>
        <v>2.04</v>
      </c>
      <c r="M74">
        <v>2.8500000000000001E-3</v>
      </c>
      <c r="N74">
        <f t="shared" si="16"/>
        <v>5.479999999999921E-2</v>
      </c>
      <c r="P74">
        <v>17.5</v>
      </c>
      <c r="Q74">
        <f t="shared" si="14"/>
        <v>1.75</v>
      </c>
      <c r="R74" s="1">
        <v>3.6982898E-2</v>
      </c>
      <c r="S74">
        <f t="shared" si="17"/>
        <v>0.68995772000000255</v>
      </c>
    </row>
    <row r="75" spans="1:19" x14ac:dyDescent="0.25">
      <c r="A75">
        <v>20.65</v>
      </c>
      <c r="B75">
        <f t="shared" si="11"/>
        <v>2.0649999999999999</v>
      </c>
      <c r="C75">
        <v>6.4000000000000005E-4</v>
      </c>
      <c r="D75">
        <f t="shared" si="15"/>
        <v>2.5600000000000091E-2</v>
      </c>
      <c r="F75">
        <v>17.75</v>
      </c>
      <c r="G75">
        <f t="shared" si="10"/>
        <v>1.7749999999999999</v>
      </c>
      <c r="H75" s="1">
        <v>2.6216045E-2</v>
      </c>
      <c r="I75">
        <f t="shared" si="12"/>
        <v>4.421980000000008E-2</v>
      </c>
      <c r="K75">
        <v>20.65</v>
      </c>
      <c r="L75">
        <f t="shared" si="13"/>
        <v>2.0649999999999999</v>
      </c>
      <c r="M75">
        <v>2.0899999999999998E-3</v>
      </c>
      <c r="N75">
        <f t="shared" si="16"/>
        <v>3.0400000000000118E-2</v>
      </c>
      <c r="P75">
        <v>17.75</v>
      </c>
      <c r="Q75">
        <f t="shared" si="14"/>
        <v>1.7749999999999999</v>
      </c>
      <c r="R75" s="1">
        <v>2.5581056000000001E-2</v>
      </c>
      <c r="S75">
        <f t="shared" si="17"/>
        <v>0.45607368000000159</v>
      </c>
    </row>
    <row r="76" spans="1:19" x14ac:dyDescent="0.25">
      <c r="A76">
        <v>20.9</v>
      </c>
      <c r="B76">
        <f t="shared" si="11"/>
        <v>2.09</v>
      </c>
      <c r="C76">
        <v>0</v>
      </c>
      <c r="D76">
        <f t="shared" si="15"/>
        <v>2.5600000000000091E-2</v>
      </c>
      <c r="F76">
        <v>18</v>
      </c>
      <c r="G76">
        <f t="shared" si="10"/>
        <v>1.8</v>
      </c>
      <c r="H76" s="1">
        <v>2.5742260999999999E-2</v>
      </c>
      <c r="I76">
        <f t="shared" si="12"/>
        <v>1.8951359999999955E-2</v>
      </c>
      <c r="K76">
        <v>20.9</v>
      </c>
      <c r="L76">
        <f t="shared" si="13"/>
        <v>2.09</v>
      </c>
      <c r="M76">
        <v>6.3000000000000003E-4</v>
      </c>
      <c r="N76">
        <f t="shared" si="16"/>
        <v>5.8400000000000202E-2</v>
      </c>
      <c r="P76">
        <v>18</v>
      </c>
      <c r="Q76">
        <f t="shared" si="14"/>
        <v>1.8</v>
      </c>
      <c r="R76" s="1">
        <v>2.5142523999999999E-2</v>
      </c>
      <c r="S76">
        <f t="shared" si="17"/>
        <v>1.7541279999999982E-2</v>
      </c>
    </row>
    <row r="77" spans="1:19" x14ac:dyDescent="0.25">
      <c r="A77">
        <v>21.15</v>
      </c>
      <c r="B77">
        <f t="shared" si="11"/>
        <v>2.1149999999999998</v>
      </c>
      <c r="C77">
        <v>0</v>
      </c>
      <c r="D77">
        <f t="shared" si="15"/>
        <v>0</v>
      </c>
      <c r="F77">
        <v>18.25</v>
      </c>
      <c r="G77">
        <f t="shared" si="10"/>
        <v>1.825</v>
      </c>
      <c r="H77" s="1">
        <v>2.4162980000000001E-2</v>
      </c>
      <c r="I77">
        <f t="shared" si="12"/>
        <v>6.3171240000000156E-2</v>
      </c>
      <c r="K77">
        <v>21.15</v>
      </c>
      <c r="L77">
        <f t="shared" si="13"/>
        <v>2.1149999999999998</v>
      </c>
      <c r="M77">
        <v>0</v>
      </c>
      <c r="N77">
        <f t="shared" si="16"/>
        <v>2.520000000000009E-2</v>
      </c>
      <c r="P77">
        <v>18.25</v>
      </c>
      <c r="Q77">
        <f t="shared" si="14"/>
        <v>1.825</v>
      </c>
      <c r="R77" s="1">
        <v>2.4557814000000001E-2</v>
      </c>
      <c r="S77">
        <f t="shared" si="17"/>
        <v>2.3388400000000031E-2</v>
      </c>
    </row>
    <row r="78" spans="1:19" x14ac:dyDescent="0.25">
      <c r="F78">
        <v>18.5</v>
      </c>
      <c r="G78">
        <f t="shared" si="10"/>
        <v>1.85</v>
      </c>
      <c r="H78" s="1">
        <v>2.3531269E-2</v>
      </c>
      <c r="I78">
        <f t="shared" si="12"/>
        <v>2.5268439999999868E-2</v>
      </c>
      <c r="P78">
        <v>18.5</v>
      </c>
      <c r="Q78">
        <f t="shared" si="14"/>
        <v>1.85</v>
      </c>
      <c r="R78" s="1">
        <v>2.3096040000000002E-2</v>
      </c>
      <c r="S78">
        <f t="shared" si="17"/>
        <v>5.8470959999999648E-2</v>
      </c>
    </row>
    <row r="79" spans="1:19" x14ac:dyDescent="0.25">
      <c r="F79">
        <v>18.75</v>
      </c>
      <c r="G79">
        <f t="shared" si="10"/>
        <v>1.875</v>
      </c>
      <c r="H79" s="1">
        <v>2.1951987999999999E-2</v>
      </c>
      <c r="I79">
        <f t="shared" si="12"/>
        <v>6.3171240000000295E-2</v>
      </c>
      <c r="P79">
        <v>18.75</v>
      </c>
      <c r="Q79">
        <f t="shared" si="14"/>
        <v>1.875</v>
      </c>
      <c r="R79" s="1">
        <v>2.2365152999999999E-2</v>
      </c>
      <c r="S79">
        <f t="shared" si="17"/>
        <v>2.9235480000000223E-2</v>
      </c>
    </row>
    <row r="80" spans="1:19" x14ac:dyDescent="0.25">
      <c r="F80">
        <v>19</v>
      </c>
      <c r="G80">
        <f t="shared" si="10"/>
        <v>1.9</v>
      </c>
      <c r="H80" s="1">
        <v>2.1320278000000002E-2</v>
      </c>
      <c r="I80">
        <f t="shared" si="12"/>
        <v>2.5268399999999976E-2</v>
      </c>
      <c r="P80">
        <v>19</v>
      </c>
      <c r="Q80">
        <f t="shared" si="14"/>
        <v>1.9</v>
      </c>
      <c r="R80" s="1">
        <v>2.1341911000000002E-2</v>
      </c>
      <c r="S80">
        <f t="shared" si="17"/>
        <v>4.0929680000000031E-2</v>
      </c>
    </row>
    <row r="81" spans="6:19" x14ac:dyDescent="0.25">
      <c r="F81">
        <v>19.25</v>
      </c>
      <c r="G81">
        <f t="shared" si="10"/>
        <v>1.925</v>
      </c>
      <c r="H81" s="1">
        <v>2.0056852999999999E-2</v>
      </c>
      <c r="I81">
        <f t="shared" si="12"/>
        <v>5.0536999999999811E-2</v>
      </c>
      <c r="P81">
        <v>19.25</v>
      </c>
      <c r="Q81">
        <f t="shared" si="14"/>
        <v>1.925</v>
      </c>
      <c r="R81" s="1">
        <v>2.0611023999999999E-2</v>
      </c>
      <c r="S81">
        <f t="shared" si="17"/>
        <v>2.9235479999999963E-2</v>
      </c>
    </row>
    <row r="82" spans="6:19" x14ac:dyDescent="0.25">
      <c r="F82">
        <v>19.5</v>
      </c>
      <c r="G82">
        <f t="shared" si="10"/>
        <v>1.95</v>
      </c>
      <c r="H82" s="1">
        <v>1.8477574E-2</v>
      </c>
      <c r="I82">
        <f t="shared" si="12"/>
        <v>6.3171160000000198E-2</v>
      </c>
      <c r="P82">
        <v>19.5</v>
      </c>
      <c r="Q82">
        <f t="shared" si="14"/>
        <v>1.95</v>
      </c>
      <c r="R82" s="1">
        <v>2.0172490000000001E-2</v>
      </c>
      <c r="S82">
        <f t="shared" si="17"/>
        <v>1.7541359999999957E-2</v>
      </c>
    </row>
    <row r="83" spans="6:19" x14ac:dyDescent="0.25">
      <c r="F83">
        <v>19.75</v>
      </c>
      <c r="G83">
        <f t="shared" si="10"/>
        <v>1.9750000000000001</v>
      </c>
      <c r="H83" s="1">
        <v>1.8477574E-2</v>
      </c>
      <c r="I83">
        <f t="shared" si="12"/>
        <v>0</v>
      </c>
      <c r="P83">
        <v>19.75</v>
      </c>
      <c r="Q83">
        <f t="shared" si="14"/>
        <v>1.9750000000000001</v>
      </c>
      <c r="R83" s="1">
        <v>1.9149248000000001E-2</v>
      </c>
      <c r="S83">
        <f t="shared" si="17"/>
        <v>4.0929679999999809E-2</v>
      </c>
    </row>
    <row r="84" spans="6:19" x14ac:dyDescent="0.25">
      <c r="F84">
        <v>20</v>
      </c>
      <c r="G84">
        <f t="shared" si="10"/>
        <v>2</v>
      </c>
      <c r="H84" s="1">
        <v>1.7056221E-2</v>
      </c>
      <c r="I84">
        <f t="shared" si="12"/>
        <v>5.6854120000000209E-2</v>
      </c>
      <c r="P84">
        <v>20</v>
      </c>
      <c r="Q84">
        <f t="shared" si="14"/>
        <v>2</v>
      </c>
      <c r="R84" s="1">
        <v>1.6810407999999999E-2</v>
      </c>
      <c r="S84">
        <f t="shared" si="17"/>
        <v>9.3553600000000403E-2</v>
      </c>
    </row>
    <row r="85" spans="6:19" x14ac:dyDescent="0.25">
      <c r="F85">
        <v>20.25</v>
      </c>
      <c r="G85">
        <f t="shared" si="10"/>
        <v>2.0249999999999999</v>
      </c>
      <c r="H85" s="1">
        <v>1.5950725999999998E-2</v>
      </c>
      <c r="I85">
        <f t="shared" si="12"/>
        <v>4.4219800000000219E-2</v>
      </c>
      <c r="P85">
        <v>20.25</v>
      </c>
      <c r="Q85">
        <f t="shared" si="14"/>
        <v>2.0249999999999999</v>
      </c>
      <c r="R85" s="1">
        <v>1.5933343999999999E-2</v>
      </c>
      <c r="S85">
        <f t="shared" si="17"/>
        <v>3.5082560000000138E-2</v>
      </c>
    </row>
    <row r="86" spans="6:19" x14ac:dyDescent="0.25">
      <c r="F86">
        <v>20.5</v>
      </c>
      <c r="G86">
        <f t="shared" si="10"/>
        <v>2.0499999999999998</v>
      </c>
      <c r="H86" s="1">
        <v>0</v>
      </c>
      <c r="I86">
        <f t="shared" si="12"/>
        <v>0.63802904000000216</v>
      </c>
      <c r="P86">
        <v>20.5</v>
      </c>
      <c r="Q86">
        <f t="shared" si="14"/>
        <v>2.0499999999999998</v>
      </c>
      <c r="R86" s="1">
        <v>1.5348634E-2</v>
      </c>
      <c r="S86">
        <f t="shared" si="17"/>
        <v>2.3388400000000031E-2</v>
      </c>
    </row>
    <row r="87" spans="6:19" x14ac:dyDescent="0.25">
      <c r="F87">
        <v>20.75</v>
      </c>
      <c r="G87">
        <f t="shared" si="10"/>
        <v>2.0750000000000002</v>
      </c>
      <c r="H87" s="1">
        <v>0</v>
      </c>
      <c r="I87">
        <f t="shared" si="12"/>
        <v>0</v>
      </c>
      <c r="P87">
        <v>20.75</v>
      </c>
      <c r="Q87">
        <f t="shared" si="14"/>
        <v>2.0750000000000002</v>
      </c>
      <c r="R87" s="1">
        <v>1.4617747E-2</v>
      </c>
      <c r="S87">
        <f t="shared" si="17"/>
        <v>2.9235479999999564E-2</v>
      </c>
    </row>
    <row r="88" spans="6:19" x14ac:dyDescent="0.25">
      <c r="F88">
        <v>21</v>
      </c>
      <c r="G88">
        <f t="shared" si="10"/>
        <v>2.1</v>
      </c>
      <c r="H88" s="1">
        <v>0</v>
      </c>
      <c r="I88">
        <f t="shared" si="12"/>
        <v>0</v>
      </c>
      <c r="P88">
        <v>21</v>
      </c>
      <c r="Q88">
        <f t="shared" si="14"/>
        <v>2.1</v>
      </c>
      <c r="R88" s="1">
        <v>0</v>
      </c>
      <c r="S88">
        <f t="shared" si="17"/>
        <v>0.58470988000000212</v>
      </c>
    </row>
    <row r="89" spans="6:19" x14ac:dyDescent="0.25">
      <c r="H89" s="1"/>
      <c r="P89">
        <v>21.25</v>
      </c>
      <c r="Q89">
        <f t="shared" si="14"/>
        <v>2.125</v>
      </c>
      <c r="R89" s="1">
        <v>0</v>
      </c>
      <c r="S89">
        <f t="shared" si="17"/>
        <v>0</v>
      </c>
    </row>
    <row r="90" spans="6:19" x14ac:dyDescent="0.25">
      <c r="H90" s="1"/>
      <c r="R90" s="1"/>
    </row>
    <row r="91" spans="6:19" x14ac:dyDescent="0.25">
      <c r="H91" s="1"/>
      <c r="R91" s="1"/>
    </row>
    <row r="92" spans="6:19" x14ac:dyDescent="0.25">
      <c r="H92" s="1"/>
      <c r="R92" s="1"/>
    </row>
    <row r="93" spans="6:19" x14ac:dyDescent="0.25">
      <c r="H93" s="1"/>
      <c r="R93" s="1"/>
    </row>
    <row r="94" spans="6:19" x14ac:dyDescent="0.25">
      <c r="H94" s="1"/>
      <c r="R94" s="1"/>
    </row>
    <row r="95" spans="6:19" x14ac:dyDescent="0.25">
      <c r="H95" s="1"/>
      <c r="R95" s="1"/>
    </row>
    <row r="96" spans="6:19" x14ac:dyDescent="0.25">
      <c r="H96" s="1"/>
      <c r="R96" s="1"/>
    </row>
    <row r="97" spans="8:18" x14ac:dyDescent="0.25">
      <c r="H97" s="1"/>
      <c r="R97" s="1"/>
    </row>
    <row r="98" spans="8:18" x14ac:dyDescent="0.25">
      <c r="H98" s="1"/>
      <c r="R98" s="1"/>
    </row>
    <row r="99" spans="8:18" x14ac:dyDescent="0.25">
      <c r="H99" s="1"/>
      <c r="R99" s="1"/>
    </row>
    <row r="100" spans="8:18" x14ac:dyDescent="0.25">
      <c r="H100" s="1"/>
      <c r="R100" s="1"/>
    </row>
    <row r="101" spans="8:18" x14ac:dyDescent="0.25">
      <c r="H101" s="1"/>
      <c r="R101" s="1"/>
    </row>
    <row r="102" spans="8:18" x14ac:dyDescent="0.25">
      <c r="H102" s="1"/>
      <c r="R102" s="1"/>
    </row>
    <row r="103" spans="8:18" x14ac:dyDescent="0.25">
      <c r="H103" s="1"/>
      <c r="R103" s="1"/>
    </row>
    <row r="104" spans="8:18" x14ac:dyDescent="0.25">
      <c r="H104" s="1"/>
      <c r="R104" s="1"/>
    </row>
    <row r="105" spans="8:18" x14ac:dyDescent="0.25">
      <c r="H105" s="1"/>
      <c r="R105" s="1"/>
    </row>
    <row r="106" spans="8:18" x14ac:dyDescent="0.25">
      <c r="H106" s="1"/>
      <c r="R106" s="1"/>
    </row>
    <row r="107" spans="8:18" x14ac:dyDescent="0.25">
      <c r="H107" s="1"/>
      <c r="R107" s="1"/>
    </row>
    <row r="108" spans="8:18" x14ac:dyDescent="0.25">
      <c r="H108" s="1"/>
      <c r="R108" s="1"/>
    </row>
    <row r="109" spans="8:18" x14ac:dyDescent="0.25">
      <c r="H109" s="1"/>
      <c r="R109" s="1"/>
    </row>
    <row r="110" spans="8:18" x14ac:dyDescent="0.25">
      <c r="H110" s="1"/>
      <c r="R110" s="1"/>
    </row>
    <row r="111" spans="8:18" x14ac:dyDescent="0.25">
      <c r="H111" s="1"/>
      <c r="R111" s="1"/>
    </row>
    <row r="112" spans="8:18" x14ac:dyDescent="0.25">
      <c r="H112" s="1"/>
      <c r="R112" s="1"/>
    </row>
    <row r="113" spans="8:18" x14ac:dyDescent="0.25">
      <c r="H113" s="1"/>
      <c r="R113" s="1"/>
    </row>
    <row r="114" spans="8:18" x14ac:dyDescent="0.25">
      <c r="H114" s="1"/>
      <c r="R114" s="1"/>
    </row>
    <row r="115" spans="8:18" x14ac:dyDescent="0.25">
      <c r="H115" s="1"/>
      <c r="R115" s="1"/>
    </row>
    <row r="116" spans="8:18" x14ac:dyDescent="0.25">
      <c r="H116" s="1"/>
      <c r="R116" s="1"/>
    </row>
    <row r="117" spans="8:18" x14ac:dyDescent="0.25">
      <c r="H117" s="1"/>
      <c r="R117" s="1"/>
    </row>
    <row r="118" spans="8:18" x14ac:dyDescent="0.25">
      <c r="H118" s="1"/>
      <c r="R118" s="1"/>
    </row>
    <row r="119" spans="8:18" x14ac:dyDescent="0.25">
      <c r="H119" s="1"/>
      <c r="R119" s="1"/>
    </row>
    <row r="120" spans="8:18" x14ac:dyDescent="0.25">
      <c r="H120" s="1"/>
      <c r="R120" s="1"/>
    </row>
    <row r="121" spans="8:18" x14ac:dyDescent="0.25">
      <c r="H121" s="1"/>
      <c r="R121" s="1"/>
    </row>
    <row r="122" spans="8:18" x14ac:dyDescent="0.25">
      <c r="H122" s="1"/>
      <c r="R122" s="1"/>
    </row>
    <row r="123" spans="8:18" x14ac:dyDescent="0.25">
      <c r="H123" s="1"/>
      <c r="R123" s="1"/>
    </row>
    <row r="124" spans="8:18" x14ac:dyDescent="0.25">
      <c r="H124" s="1"/>
      <c r="R124" s="1"/>
    </row>
    <row r="125" spans="8:18" x14ac:dyDescent="0.25">
      <c r="H125" s="1"/>
      <c r="R125" s="1"/>
    </row>
    <row r="126" spans="8:18" x14ac:dyDescent="0.25">
      <c r="H126" s="1"/>
      <c r="R126" s="1"/>
    </row>
    <row r="127" spans="8:18" x14ac:dyDescent="0.25">
      <c r="H127" s="1"/>
      <c r="R127" s="1"/>
    </row>
    <row r="128" spans="8:18" x14ac:dyDescent="0.25">
      <c r="H128" s="1"/>
      <c r="R128" s="1"/>
    </row>
    <row r="129" spans="8:18" x14ac:dyDescent="0.25">
      <c r="H129" s="1"/>
      <c r="R129" s="1"/>
    </row>
    <row r="130" spans="8:18" x14ac:dyDescent="0.25">
      <c r="H130" s="1"/>
      <c r="R130" s="1"/>
    </row>
    <row r="131" spans="8:18" x14ac:dyDescent="0.25">
      <c r="H131" s="1"/>
      <c r="R131" s="1"/>
    </row>
    <row r="132" spans="8:18" x14ac:dyDescent="0.25">
      <c r="H132" s="1"/>
      <c r="R132" s="1"/>
    </row>
    <row r="133" spans="8:18" x14ac:dyDescent="0.25">
      <c r="H133" s="1"/>
      <c r="R133" s="1"/>
    </row>
    <row r="134" spans="8:18" x14ac:dyDescent="0.25">
      <c r="H134" s="1"/>
      <c r="R134" s="1"/>
    </row>
    <row r="135" spans="8:18" x14ac:dyDescent="0.25">
      <c r="H135" s="1"/>
      <c r="R135" s="1"/>
    </row>
    <row r="136" spans="8:18" x14ac:dyDescent="0.25">
      <c r="H136" s="1"/>
      <c r="R136" s="1"/>
    </row>
    <row r="137" spans="8:18" x14ac:dyDescent="0.25">
      <c r="H137" s="1"/>
      <c r="R137" s="1"/>
    </row>
    <row r="138" spans="8:18" x14ac:dyDescent="0.25">
      <c r="H138" s="1"/>
      <c r="R138" s="1"/>
    </row>
    <row r="139" spans="8:18" x14ac:dyDescent="0.25">
      <c r="H139" s="1"/>
      <c r="R139" s="1"/>
    </row>
    <row r="140" spans="8:18" x14ac:dyDescent="0.25">
      <c r="H140" s="1"/>
      <c r="R140" s="1"/>
    </row>
    <row r="141" spans="8:18" x14ac:dyDescent="0.25">
      <c r="H141" s="1"/>
      <c r="R141" s="1"/>
    </row>
    <row r="142" spans="8:18" x14ac:dyDescent="0.25">
      <c r="H142" s="1"/>
      <c r="R142" s="1"/>
    </row>
    <row r="143" spans="8:18" x14ac:dyDescent="0.25">
      <c r="H143" s="1"/>
      <c r="R143" s="1"/>
    </row>
    <row r="144" spans="8:18" x14ac:dyDescent="0.25">
      <c r="H144" s="1"/>
      <c r="R144" s="1"/>
    </row>
    <row r="145" spans="8:18" x14ac:dyDescent="0.25">
      <c r="H145" s="1"/>
      <c r="R145" s="1"/>
    </row>
    <row r="146" spans="8:18" x14ac:dyDescent="0.25">
      <c r="H146" s="1"/>
      <c r="R146" s="1"/>
    </row>
    <row r="147" spans="8:18" x14ac:dyDescent="0.25">
      <c r="H147" s="1"/>
      <c r="R147" s="1"/>
    </row>
    <row r="148" spans="8:18" x14ac:dyDescent="0.25">
      <c r="H148" s="1"/>
      <c r="R148" s="1"/>
    </row>
    <row r="149" spans="8:18" x14ac:dyDescent="0.25">
      <c r="H149" s="1"/>
      <c r="R149" s="1"/>
    </row>
    <row r="150" spans="8:18" x14ac:dyDescent="0.25">
      <c r="H150" s="1"/>
      <c r="R150" s="1"/>
    </row>
    <row r="151" spans="8:18" x14ac:dyDescent="0.25">
      <c r="H151" s="1"/>
      <c r="R151" s="1"/>
    </row>
    <row r="152" spans="8:18" x14ac:dyDescent="0.25">
      <c r="H152" s="1"/>
      <c r="R152" s="1"/>
    </row>
    <row r="153" spans="8:18" x14ac:dyDescent="0.25">
      <c r="H153" s="1"/>
      <c r="R153" s="1"/>
    </row>
    <row r="154" spans="8:18" x14ac:dyDescent="0.25">
      <c r="H154" s="1"/>
      <c r="R154" s="1"/>
    </row>
    <row r="155" spans="8:18" x14ac:dyDescent="0.25">
      <c r="H155" s="1"/>
      <c r="R155" s="1"/>
    </row>
    <row r="156" spans="8:18" x14ac:dyDescent="0.25">
      <c r="H156" s="1"/>
      <c r="R156" s="1"/>
    </row>
    <row r="157" spans="8:18" x14ac:dyDescent="0.25">
      <c r="H157" s="1"/>
      <c r="R157" s="1"/>
    </row>
    <row r="158" spans="8:18" x14ac:dyDescent="0.25">
      <c r="H158" s="1"/>
      <c r="R158" s="1"/>
    </row>
    <row r="159" spans="8:18" x14ac:dyDescent="0.25">
      <c r="H159" s="1"/>
      <c r="R159" s="1"/>
    </row>
    <row r="160" spans="8:18" x14ac:dyDescent="0.25">
      <c r="H160" s="1"/>
      <c r="R160" s="1"/>
    </row>
    <row r="161" spans="8:18" x14ac:dyDescent="0.25">
      <c r="H161" s="1"/>
      <c r="R161" s="1"/>
    </row>
    <row r="162" spans="8:18" x14ac:dyDescent="0.25">
      <c r="H162" s="1"/>
      <c r="R162" s="1"/>
    </row>
    <row r="163" spans="8:18" x14ac:dyDescent="0.25">
      <c r="H163" s="1"/>
      <c r="R163" s="1"/>
    </row>
    <row r="164" spans="8:18" x14ac:dyDescent="0.25">
      <c r="H164" s="1"/>
      <c r="R164" s="1"/>
    </row>
    <row r="165" spans="8:18" x14ac:dyDescent="0.25">
      <c r="H165" s="1"/>
      <c r="R165" s="1"/>
    </row>
    <row r="166" spans="8:18" x14ac:dyDescent="0.25">
      <c r="H166" s="1"/>
      <c r="R166" s="1"/>
    </row>
    <row r="167" spans="8:18" x14ac:dyDescent="0.25">
      <c r="H167" s="1"/>
      <c r="R167" s="1"/>
    </row>
    <row r="168" spans="8:18" x14ac:dyDescent="0.25">
      <c r="H168" s="1"/>
      <c r="R168" s="1"/>
    </row>
    <row r="169" spans="8:18" x14ac:dyDescent="0.25">
      <c r="H169" s="1"/>
      <c r="R169" s="1"/>
    </row>
    <row r="170" spans="8:18" x14ac:dyDescent="0.25">
      <c r="H170" s="1"/>
      <c r="R170" s="1"/>
    </row>
    <row r="171" spans="8:18" x14ac:dyDescent="0.25">
      <c r="H171" s="1"/>
      <c r="R171" s="1"/>
    </row>
    <row r="172" spans="8:18" x14ac:dyDescent="0.25">
      <c r="H172" s="1"/>
      <c r="R172" s="1"/>
    </row>
    <row r="173" spans="8:18" x14ac:dyDescent="0.25">
      <c r="H173" s="1"/>
      <c r="R173" s="1"/>
    </row>
    <row r="174" spans="8:18" x14ac:dyDescent="0.25">
      <c r="H174" s="1"/>
      <c r="R174" s="1"/>
    </row>
    <row r="175" spans="8:18" x14ac:dyDescent="0.25">
      <c r="H175" s="1"/>
      <c r="R175" s="1"/>
    </row>
    <row r="176" spans="8:18" x14ac:dyDescent="0.25">
      <c r="H176" s="1"/>
      <c r="R176" s="1"/>
    </row>
    <row r="177" spans="8:18" x14ac:dyDescent="0.25">
      <c r="H177" s="1"/>
      <c r="R177" s="1"/>
    </row>
    <row r="178" spans="8:18" x14ac:dyDescent="0.25">
      <c r="H178" s="1"/>
      <c r="R178" s="1"/>
    </row>
    <row r="179" spans="8:18" x14ac:dyDescent="0.25">
      <c r="H179" s="1"/>
      <c r="R179" s="1"/>
    </row>
    <row r="180" spans="8:18" x14ac:dyDescent="0.25">
      <c r="H180" s="1"/>
      <c r="R180" s="1"/>
    </row>
    <row r="181" spans="8:18" x14ac:dyDescent="0.25">
      <c r="H181" s="1"/>
      <c r="R181" s="1"/>
    </row>
    <row r="182" spans="8:18" x14ac:dyDescent="0.25">
      <c r="H182" s="1"/>
      <c r="R182" s="1"/>
    </row>
    <row r="183" spans="8:18" x14ac:dyDescent="0.25">
      <c r="H183" s="1"/>
      <c r="R183" s="1"/>
    </row>
    <row r="184" spans="8:18" x14ac:dyDescent="0.25">
      <c r="H184" s="1"/>
      <c r="R184" s="1"/>
    </row>
    <row r="185" spans="8:18" x14ac:dyDescent="0.25">
      <c r="H185" s="1"/>
      <c r="R185" s="1"/>
    </row>
    <row r="186" spans="8:18" x14ac:dyDescent="0.25">
      <c r="H186" s="1"/>
      <c r="R186" s="1"/>
    </row>
    <row r="187" spans="8:18" x14ac:dyDescent="0.25">
      <c r="H187" s="1"/>
      <c r="R187" s="1"/>
    </row>
    <row r="188" spans="8:18" x14ac:dyDescent="0.25">
      <c r="H188" s="1"/>
      <c r="R188" s="1"/>
    </row>
    <row r="189" spans="8:18" x14ac:dyDescent="0.25">
      <c r="H189" s="1"/>
      <c r="R189" s="1"/>
    </row>
    <row r="190" spans="8:18" x14ac:dyDescent="0.25">
      <c r="H190" s="1"/>
      <c r="R190" s="1"/>
    </row>
    <row r="191" spans="8:18" x14ac:dyDescent="0.25">
      <c r="H191" s="1"/>
      <c r="R191" s="1"/>
    </row>
    <row r="192" spans="8:18" x14ac:dyDescent="0.25">
      <c r="H192" s="1"/>
      <c r="R192" s="1"/>
    </row>
    <row r="193" spans="8:18" x14ac:dyDescent="0.25">
      <c r="H193" s="1"/>
      <c r="R193" s="1"/>
    </row>
    <row r="194" spans="8:18" x14ac:dyDescent="0.25">
      <c r="H194" s="1"/>
      <c r="R194" s="1"/>
    </row>
    <row r="195" spans="8:18" x14ac:dyDescent="0.25">
      <c r="H195" s="1"/>
      <c r="R195" s="1"/>
    </row>
    <row r="196" spans="8:18" x14ac:dyDescent="0.25">
      <c r="H196" s="1"/>
      <c r="R196" s="1"/>
    </row>
    <row r="197" spans="8:18" x14ac:dyDescent="0.25">
      <c r="H197" s="1"/>
      <c r="R197" s="1"/>
    </row>
    <row r="198" spans="8:18" x14ac:dyDescent="0.25">
      <c r="H198" s="1"/>
      <c r="R198" s="1"/>
    </row>
    <row r="199" spans="8:18" x14ac:dyDescent="0.25">
      <c r="H199" s="1"/>
      <c r="R199" s="1"/>
    </row>
    <row r="200" spans="8:18" x14ac:dyDescent="0.25">
      <c r="H200" s="1"/>
      <c r="R200" s="1"/>
    </row>
    <row r="201" spans="8:18" x14ac:dyDescent="0.25">
      <c r="H201" s="1"/>
      <c r="R201" s="1"/>
    </row>
    <row r="202" spans="8:18" x14ac:dyDescent="0.25">
      <c r="H202" s="1"/>
      <c r="R202" s="1"/>
    </row>
    <row r="203" spans="8:18" x14ac:dyDescent="0.25">
      <c r="H203" s="1"/>
      <c r="R203" s="1"/>
    </row>
  </sheetData>
  <mergeCells count="9">
    <mergeCell ref="U2:W2"/>
    <mergeCell ref="A1:D1"/>
    <mergeCell ref="F1:I1"/>
    <mergeCell ref="K1:N1"/>
    <mergeCell ref="P1:S1"/>
    <mergeCell ref="A2:D2"/>
    <mergeCell ref="F2:I2"/>
    <mergeCell ref="K2:N2"/>
    <mergeCell ref="P2:S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GRO-GRO</vt:lpstr>
      <vt:lpstr>XTC-TPR</vt:lpstr>
      <vt:lpstr>Matrix-Comparison</vt:lpstr>
      <vt:lpstr>Voxel-Size-Comparison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2026-05-12T20:45:39Z</dcterms:modified>
</cp:coreProperties>
</file>